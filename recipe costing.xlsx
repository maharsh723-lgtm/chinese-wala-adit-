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d290e6e49f2169e/Desktop/"/>
    </mc:Choice>
  </mc:AlternateContent>
  <xr:revisionPtr revIDLastSave="9" documentId="13_ncr:1_{71F6BEF2-59F3-435F-8611-B6F554F17B9A}" xr6:coauthVersionLast="47" xr6:coauthVersionMax="47" xr10:uidLastSave="{4AB11205-E2AF-4187-BA3B-16C1D6B5EF15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3" i="1" l="1"/>
  <c r="E643" i="1" l="1"/>
  <c r="E636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452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631" i="1" l="1"/>
  <c r="F616" i="1" s="1"/>
  <c r="H616" i="1" s="1"/>
  <c r="J616" i="1" s="1"/>
  <c r="E479" i="1"/>
  <c r="F464" i="1" s="1"/>
  <c r="H464" i="1" s="1"/>
  <c r="J464" i="1" s="1"/>
  <c r="E779" i="1" l="1"/>
  <c r="E778" i="1"/>
  <c r="E777" i="1"/>
  <c r="E776" i="1"/>
  <c r="E768" i="1"/>
  <c r="E767" i="1"/>
  <c r="E766" i="1"/>
  <c r="E765" i="1"/>
  <c r="E754" i="1"/>
  <c r="E753" i="1"/>
  <c r="E752" i="1"/>
  <c r="E751" i="1"/>
  <c r="E750" i="1"/>
  <c r="E749" i="1"/>
  <c r="E748" i="1"/>
  <c r="E747" i="1"/>
  <c r="E740" i="1"/>
  <c r="E739" i="1"/>
  <c r="E730" i="1"/>
  <c r="E729" i="1"/>
  <c r="E728" i="1"/>
  <c r="E718" i="1"/>
  <c r="E717" i="1"/>
  <c r="E716" i="1"/>
  <c r="C704" i="1"/>
  <c r="E703" i="1"/>
  <c r="E702" i="1"/>
  <c r="E701" i="1"/>
  <c r="E700" i="1"/>
  <c r="E699" i="1"/>
  <c r="E698" i="1"/>
  <c r="E697" i="1"/>
  <c r="E696" i="1"/>
  <c r="E692" i="1"/>
  <c r="E691" i="1"/>
  <c r="E690" i="1"/>
  <c r="E689" i="1"/>
  <c r="E688" i="1"/>
  <c r="E687" i="1"/>
  <c r="E686" i="1"/>
  <c r="E685" i="1"/>
  <c r="E684" i="1"/>
  <c r="E683" i="1"/>
  <c r="E682" i="1"/>
  <c r="E677" i="1"/>
  <c r="E676" i="1"/>
  <c r="E675" i="1"/>
  <c r="E674" i="1"/>
  <c r="E673" i="1"/>
  <c r="E672" i="1"/>
  <c r="E671" i="1"/>
  <c r="E670" i="1"/>
  <c r="E669" i="1"/>
  <c r="E668" i="1"/>
  <c r="E667" i="1"/>
  <c r="E658" i="1"/>
  <c r="E657" i="1"/>
  <c r="E656" i="1"/>
  <c r="E655" i="1"/>
  <c r="E654" i="1"/>
  <c r="E653" i="1"/>
  <c r="E652" i="1"/>
  <c r="E651" i="1"/>
  <c r="E650" i="1"/>
  <c r="E642" i="1"/>
  <c r="E641" i="1"/>
  <c r="E640" i="1"/>
  <c r="E639" i="1"/>
  <c r="E638" i="1"/>
  <c r="E637" i="1"/>
  <c r="E635" i="1"/>
  <c r="E634" i="1"/>
  <c r="E633" i="1"/>
  <c r="E609" i="1"/>
  <c r="E608" i="1"/>
  <c r="E607" i="1"/>
  <c r="E606" i="1"/>
  <c r="E605" i="1"/>
  <c r="E604" i="1"/>
  <c r="E603" i="1"/>
  <c r="E602" i="1"/>
  <c r="E601" i="1"/>
  <c r="E600" i="1"/>
  <c r="E599" i="1"/>
  <c r="E592" i="1"/>
  <c r="E591" i="1"/>
  <c r="E590" i="1"/>
  <c r="E589" i="1"/>
  <c r="E588" i="1"/>
  <c r="E587" i="1"/>
  <c r="E586" i="1"/>
  <c r="E585" i="1"/>
  <c r="E578" i="1"/>
  <c r="E577" i="1"/>
  <c r="E576" i="1"/>
  <c r="E575" i="1"/>
  <c r="E574" i="1"/>
  <c r="E573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35" i="1"/>
  <c r="E534" i="1"/>
  <c r="E533" i="1"/>
  <c r="E532" i="1"/>
  <c r="E531" i="1"/>
  <c r="E530" i="1"/>
  <c r="E529" i="1"/>
  <c r="E521" i="1"/>
  <c r="E520" i="1"/>
  <c r="E519" i="1"/>
  <c r="E518" i="1"/>
  <c r="E517" i="1"/>
  <c r="E516" i="1"/>
  <c r="E515" i="1"/>
  <c r="E514" i="1"/>
  <c r="E507" i="1"/>
  <c r="E506" i="1"/>
  <c r="E505" i="1"/>
  <c r="E504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57" i="1"/>
  <c r="E456" i="1"/>
  <c r="E455" i="1"/>
  <c r="E454" i="1"/>
  <c r="E453" i="1"/>
  <c r="E451" i="1"/>
  <c r="E450" i="1"/>
  <c r="E449" i="1"/>
  <c r="E448" i="1"/>
  <c r="E447" i="1"/>
  <c r="E446" i="1"/>
  <c r="E445" i="1"/>
  <c r="E444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17" i="1"/>
  <c r="E416" i="1"/>
  <c r="E415" i="1"/>
  <c r="E414" i="1"/>
  <c r="E413" i="1"/>
  <c r="E412" i="1"/>
  <c r="E411" i="1"/>
  <c r="E410" i="1"/>
  <c r="E409" i="1"/>
  <c r="E402" i="1"/>
  <c r="E401" i="1"/>
  <c r="E400" i="1"/>
  <c r="E399" i="1"/>
  <c r="E398" i="1"/>
  <c r="E397" i="1"/>
  <c r="E396" i="1"/>
  <c r="E395" i="1"/>
  <c r="E388" i="1"/>
  <c r="E387" i="1"/>
  <c r="E386" i="1"/>
  <c r="E385" i="1"/>
  <c r="E384" i="1"/>
  <c r="E383" i="1"/>
  <c r="E382" i="1"/>
  <c r="E381" i="1"/>
  <c r="E380" i="1"/>
  <c r="E373" i="1"/>
  <c r="E372" i="1"/>
  <c r="E371" i="1"/>
  <c r="E370" i="1"/>
  <c r="E369" i="1"/>
  <c r="E368" i="1"/>
  <c r="E367" i="1"/>
  <c r="E366" i="1"/>
  <c r="E365" i="1"/>
  <c r="E358" i="1"/>
  <c r="E357" i="1"/>
  <c r="E356" i="1"/>
  <c r="E355" i="1"/>
  <c r="E354" i="1"/>
  <c r="E353" i="1"/>
  <c r="E352" i="1"/>
  <c r="E351" i="1"/>
  <c r="E350" i="1"/>
  <c r="E349" i="1"/>
  <c r="E341" i="1"/>
  <c r="E340" i="1"/>
  <c r="E339" i="1"/>
  <c r="E338" i="1"/>
  <c r="E337" i="1"/>
  <c r="E336" i="1"/>
  <c r="E335" i="1"/>
  <c r="E334" i="1"/>
  <c r="E327" i="1"/>
  <c r="E326" i="1"/>
  <c r="E325" i="1"/>
  <c r="E324" i="1"/>
  <c r="E315" i="1"/>
  <c r="E314" i="1"/>
  <c r="E313" i="1"/>
  <c r="E312" i="1"/>
  <c r="E311" i="1"/>
  <c r="E310" i="1"/>
  <c r="E309" i="1"/>
  <c r="E308" i="1"/>
  <c r="E300" i="1"/>
  <c r="E299" i="1"/>
  <c r="E298" i="1"/>
  <c r="E297" i="1"/>
  <c r="E296" i="1"/>
  <c r="E295" i="1"/>
  <c r="E294" i="1"/>
  <c r="E293" i="1"/>
  <c r="E285" i="1"/>
  <c r="E284" i="1"/>
  <c r="E283" i="1"/>
  <c r="E282" i="1"/>
  <c r="E273" i="1"/>
  <c r="E272" i="1"/>
  <c r="E271" i="1"/>
  <c r="E270" i="1"/>
  <c r="E269" i="1"/>
  <c r="E268" i="1"/>
  <c r="E267" i="1"/>
  <c r="E266" i="1"/>
  <c r="E265" i="1"/>
  <c r="C261" i="1"/>
  <c r="E260" i="1"/>
  <c r="E259" i="1"/>
  <c r="E258" i="1"/>
  <c r="E257" i="1"/>
  <c r="E256" i="1"/>
  <c r="E255" i="1"/>
  <c r="E254" i="1"/>
  <c r="E253" i="1"/>
  <c r="E244" i="1"/>
  <c r="E243" i="1"/>
  <c r="E242" i="1"/>
  <c r="E232" i="1"/>
  <c r="E231" i="1"/>
  <c r="E230" i="1"/>
  <c r="E221" i="1"/>
  <c r="E220" i="1"/>
  <c r="E219" i="1"/>
  <c r="E210" i="1"/>
  <c r="E209" i="1"/>
  <c r="E201" i="1"/>
  <c r="E200" i="1"/>
  <c r="E199" i="1"/>
  <c r="E198" i="1"/>
  <c r="E190" i="1"/>
  <c r="E189" i="1"/>
  <c r="E188" i="1"/>
  <c r="E187" i="1"/>
  <c r="E179" i="1"/>
  <c r="E178" i="1"/>
  <c r="E177" i="1"/>
  <c r="E176" i="1"/>
  <c r="E175" i="1"/>
  <c r="E168" i="1"/>
  <c r="E167" i="1"/>
  <c r="E166" i="1"/>
  <c r="E165" i="1"/>
  <c r="E156" i="1"/>
  <c r="E155" i="1"/>
  <c r="E154" i="1"/>
  <c r="E153" i="1"/>
  <c r="E145" i="1"/>
  <c r="E144" i="1"/>
  <c r="E143" i="1"/>
  <c r="E135" i="1"/>
  <c r="E134" i="1"/>
  <c r="E133" i="1"/>
  <c r="E125" i="1"/>
  <c r="E124" i="1"/>
  <c r="E123" i="1"/>
  <c r="E122" i="1"/>
  <c r="E121" i="1"/>
  <c r="E120" i="1"/>
  <c r="E113" i="1"/>
  <c r="E112" i="1"/>
  <c r="E111" i="1"/>
  <c r="E110" i="1"/>
  <c r="E109" i="1"/>
  <c r="E108" i="1"/>
  <c r="E99" i="1"/>
  <c r="E98" i="1"/>
  <c r="E97" i="1"/>
  <c r="E96" i="1"/>
  <c r="E95" i="1"/>
  <c r="E94" i="1"/>
  <c r="E86" i="1"/>
  <c r="E85" i="1"/>
  <c r="E84" i="1"/>
  <c r="E83" i="1"/>
  <c r="E82" i="1"/>
  <c r="E81" i="1"/>
  <c r="E73" i="1"/>
  <c r="E72" i="1"/>
  <c r="E71" i="1"/>
  <c r="E70" i="1"/>
  <c r="E69" i="1"/>
  <c r="E68" i="1"/>
  <c r="E60" i="1"/>
  <c r="E59" i="1"/>
  <c r="E58" i="1"/>
  <c r="E57" i="1"/>
  <c r="E56" i="1"/>
  <c r="E55" i="1"/>
  <c r="E46" i="1"/>
  <c r="E45" i="1"/>
  <c r="E44" i="1"/>
  <c r="E43" i="1"/>
  <c r="E42" i="1"/>
  <c r="E34" i="1"/>
  <c r="E33" i="1"/>
  <c r="E32" i="1"/>
  <c r="E31" i="1"/>
  <c r="E30" i="1"/>
  <c r="E29" i="1"/>
  <c r="E21" i="1"/>
  <c r="E20" i="1"/>
  <c r="E19" i="1"/>
  <c r="E18" i="1"/>
  <c r="E17" i="1"/>
  <c r="E9" i="1"/>
  <c r="E8" i="1"/>
  <c r="E7" i="1"/>
  <c r="E6" i="1"/>
  <c r="E5" i="1"/>
  <c r="E554" i="1" l="1"/>
  <c r="F542" i="1" s="1"/>
  <c r="H542" i="1" s="1"/>
  <c r="J542" i="1" s="1"/>
  <c r="E596" i="1"/>
  <c r="F585" i="1" s="1"/>
  <c r="H585" i="1" s="1"/>
  <c r="J585" i="1" s="1"/>
  <c r="E662" i="1"/>
  <c r="F650" i="1" s="1"/>
  <c r="H650" i="1" s="1"/>
  <c r="J650" i="1" s="1"/>
  <c r="E704" i="1"/>
  <c r="F696" i="1" s="1"/>
  <c r="H696" i="1" s="1"/>
  <c r="J696" i="1" s="1"/>
  <c r="E25" i="1"/>
  <c r="F17" i="1" s="1"/>
  <c r="H17" i="1" s="1"/>
  <c r="J17" i="1" s="1"/>
  <c r="E77" i="1"/>
  <c r="F68" i="1" s="1"/>
  <c r="H68" i="1" s="1"/>
  <c r="J68" i="1" s="1"/>
  <c r="E129" i="1"/>
  <c r="F120" i="1" s="1"/>
  <c r="H120" i="1" s="1"/>
  <c r="J120" i="1" s="1"/>
  <c r="E139" i="1"/>
  <c r="F133" i="1" s="1"/>
  <c r="H133" i="1" s="1"/>
  <c r="J133" i="1" s="1"/>
  <c r="E172" i="1"/>
  <c r="F165" i="1" s="1"/>
  <c r="H165" i="1" s="1"/>
  <c r="J165" i="1" s="1"/>
  <c r="E183" i="1"/>
  <c r="F175" i="1" s="1"/>
  <c r="H175" i="1" s="1"/>
  <c r="J175" i="1" s="1"/>
  <c r="E194" i="1"/>
  <c r="F187" i="1" s="1"/>
  <c r="H187" i="1" s="1"/>
  <c r="J187" i="1" s="1"/>
  <c r="E214" i="1"/>
  <c r="H209" i="1" s="1"/>
  <c r="J209" i="1" s="1"/>
  <c r="E225" i="1"/>
  <c r="F219" i="1" s="1"/>
  <c r="H219" i="1" s="1"/>
  <c r="J219" i="1" s="1"/>
  <c r="E248" i="1"/>
  <c r="F242" i="1" s="1"/>
  <c r="H242" i="1" s="1"/>
  <c r="J242" i="1" s="1"/>
  <c r="E319" i="1"/>
  <c r="F308" i="1" s="1"/>
  <c r="H308" i="1" s="1"/>
  <c r="J308" i="1" s="1"/>
  <c r="E345" i="1"/>
  <c r="F334" i="1" s="1"/>
  <c r="H334" i="1" s="1"/>
  <c r="J334" i="1" s="1"/>
  <c r="E13" i="1"/>
  <c r="F5" i="1" s="1"/>
  <c r="H5" i="1" s="1"/>
  <c r="J5" i="1" s="1"/>
  <c r="E90" i="1"/>
  <c r="F81" i="1" s="1"/>
  <c r="H81" i="1" s="1"/>
  <c r="J81" i="1" s="1"/>
  <c r="E103" i="1"/>
  <c r="F94" i="1" s="1"/>
  <c r="H94" i="1" s="1"/>
  <c r="J94" i="1" s="1"/>
  <c r="E361" i="1"/>
  <c r="F349" i="1" s="1"/>
  <c r="H349" i="1" s="1"/>
  <c r="J349" i="1" s="1"/>
  <c r="E377" i="1"/>
  <c r="F365" i="1" s="1"/>
  <c r="H365" i="1" s="1"/>
  <c r="J365" i="1" s="1"/>
  <c r="E392" i="1"/>
  <c r="F380" i="1" s="1"/>
  <c r="H380" i="1" s="1"/>
  <c r="J380" i="1" s="1"/>
  <c r="E461" i="1"/>
  <c r="F444" i="1" s="1"/>
  <c r="H444" i="1" s="1"/>
  <c r="J444" i="1" s="1"/>
  <c r="E38" i="1"/>
  <c r="F29" i="1" s="1"/>
  <c r="H29" i="1" s="1"/>
  <c r="J29" i="1" s="1"/>
  <c r="E50" i="1"/>
  <c r="F42" i="1" s="1"/>
  <c r="H42" i="1" s="1"/>
  <c r="J42" i="1" s="1"/>
  <c r="E149" i="1"/>
  <c r="F143" i="1" s="1"/>
  <c r="H143" i="1" s="1"/>
  <c r="J143" i="1" s="1"/>
  <c r="E236" i="1"/>
  <c r="F230" i="1" s="1"/>
  <c r="H230" i="1" s="1"/>
  <c r="J230" i="1" s="1"/>
  <c r="E261" i="1"/>
  <c r="F253" i="1" s="1"/>
  <c r="E289" i="1"/>
  <c r="F282" i="1" s="1"/>
  <c r="H282" i="1" s="1"/>
  <c r="J282" i="1" s="1"/>
  <c r="E330" i="1"/>
  <c r="F324" i="1" s="1"/>
  <c r="H324" i="1" s="1"/>
  <c r="J324" i="1" s="1"/>
  <c r="E406" i="1"/>
  <c r="F395" i="1" s="1"/>
  <c r="H395" i="1" s="1"/>
  <c r="J395" i="1" s="1"/>
  <c r="E421" i="1"/>
  <c r="F409" i="1" s="1"/>
  <c r="H409" i="1" s="1"/>
  <c r="J409" i="1" s="1"/>
  <c r="E441" i="1"/>
  <c r="F424" i="1" s="1"/>
  <c r="H424" i="1" s="1"/>
  <c r="J424" i="1" s="1"/>
  <c r="E693" i="1"/>
  <c r="F682" i="1" s="1"/>
  <c r="H682" i="1" s="1"/>
  <c r="J682" i="1" s="1"/>
  <c r="E722" i="1"/>
  <c r="F716" i="1" s="1"/>
  <c r="H716" i="1" s="1"/>
  <c r="J716" i="1" s="1"/>
  <c r="E744" i="1"/>
  <c r="F739" i="1" s="1"/>
  <c r="H739" i="1" s="1"/>
  <c r="J739" i="1" s="1"/>
  <c r="E759" i="1"/>
  <c r="F747" i="1" s="1"/>
  <c r="H747" i="1" s="1"/>
  <c r="J747" i="1" s="1"/>
  <c r="E64" i="1"/>
  <c r="F55" i="1" s="1"/>
  <c r="H55" i="1" s="1"/>
  <c r="J55" i="1" s="1"/>
  <c r="E117" i="1"/>
  <c r="F108" i="1" s="1"/>
  <c r="H108" i="1" s="1"/>
  <c r="J108" i="1" s="1"/>
  <c r="E160" i="1"/>
  <c r="F153" i="1" s="1"/>
  <c r="H153" i="1" s="1"/>
  <c r="J153" i="1" s="1"/>
  <c r="E205" i="1"/>
  <c r="H198" i="1" s="1"/>
  <c r="J198" i="1" s="1"/>
  <c r="E278" i="1"/>
  <c r="F265" i="1" s="1"/>
  <c r="H265" i="1" s="1"/>
  <c r="J265" i="1" s="1"/>
  <c r="E304" i="1"/>
  <c r="F293" i="1" s="1"/>
  <c r="H293" i="1" s="1"/>
  <c r="J293" i="1" s="1"/>
  <c r="E510" i="1"/>
  <c r="F504" i="1" s="1"/>
  <c r="H504" i="1" s="1"/>
  <c r="J504" i="1" s="1"/>
  <c r="E525" i="1"/>
  <c r="F514" i="1" s="1"/>
  <c r="H514" i="1" s="1"/>
  <c r="J514" i="1" s="1"/>
  <c r="E538" i="1"/>
  <c r="F529" i="1" s="1"/>
  <c r="H529" i="1" s="1"/>
  <c r="J529" i="1" s="1"/>
  <c r="E570" i="1"/>
  <c r="F558" i="1" s="1"/>
  <c r="H558" i="1" s="1"/>
  <c r="J558" i="1" s="1"/>
  <c r="E647" i="1"/>
  <c r="F633" i="1" s="1"/>
  <c r="H633" i="1" s="1"/>
  <c r="J633" i="1" s="1"/>
  <c r="E772" i="1"/>
  <c r="F765" i="1" s="1"/>
  <c r="H765" i="1" s="1"/>
  <c r="J765" i="1" s="1"/>
  <c r="E783" i="1"/>
  <c r="F776" i="1" s="1"/>
  <c r="H776" i="1" s="1"/>
  <c r="J776" i="1" s="1"/>
  <c r="E582" i="1"/>
  <c r="F573" i="1" s="1"/>
  <c r="H573" i="1" s="1"/>
  <c r="J573" i="1" s="1"/>
  <c r="E613" i="1"/>
  <c r="F599" i="1" s="1"/>
  <c r="H599" i="1" s="1"/>
  <c r="J599" i="1" s="1"/>
  <c r="E734" i="1"/>
  <c r="F728" i="1" s="1"/>
  <c r="H728" i="1" s="1"/>
  <c r="J728" i="1" s="1"/>
  <c r="E678" i="1"/>
  <c r="F667" i="1" s="1"/>
  <c r="H667" i="1" s="1"/>
  <c r="J667" i="1" s="1"/>
  <c r="E498" i="1"/>
  <c r="F482" i="1" s="1"/>
  <c r="H482" i="1" s="1"/>
  <c r="J482" i="1" s="1"/>
</calcChain>
</file>

<file path=xl/sharedStrings.xml><?xml version="1.0" encoding="utf-8"?>
<sst xmlns="http://schemas.openxmlformats.org/spreadsheetml/2006/main" count="991" uniqueCount="140">
  <si>
    <t>GARMA - GARAM CHAAT</t>
  </si>
  <si>
    <t>INGREDIENTS</t>
  </si>
  <si>
    <t>QTY</t>
  </si>
  <si>
    <t>RATE</t>
  </si>
  <si>
    <t>AMOUNT</t>
  </si>
  <si>
    <t>TOTAL COST</t>
  </si>
  <si>
    <t>YIELD</t>
  </si>
  <si>
    <t>NET COST OF DISH</t>
  </si>
  <si>
    <t>MENU PRICE</t>
  </si>
  <si>
    <t>Fried Alu Tikki</t>
  </si>
  <si>
    <t>Alu Tikki Chaat:</t>
  </si>
  <si>
    <t>Dahi</t>
  </si>
  <si>
    <t>Sonth Chatney</t>
  </si>
  <si>
    <t>Green Chatney</t>
  </si>
  <si>
    <t>Garnish – Julieanne of Beet, Carrot, Dhania</t>
  </si>
  <si>
    <t>Sq. Bio Dish</t>
  </si>
  <si>
    <t>Wooden Spoon</t>
  </si>
  <si>
    <t>Tissue paper</t>
  </si>
  <si>
    <t>Fried Alu Tikki    - 1 pc</t>
  </si>
  <si>
    <t>Alu Tikki w Chole:</t>
  </si>
  <si>
    <t>Chole</t>
  </si>
  <si>
    <t>Alu Tikki w Ragda:</t>
  </si>
  <si>
    <t>Ragda</t>
  </si>
  <si>
    <t xml:space="preserve">Green Chatney </t>
  </si>
  <si>
    <t>Onion Laccha</t>
  </si>
  <si>
    <t>Diced Wafer Alu ( 150 gms - boiled wt.)</t>
  </si>
  <si>
    <t>Tawa Alu Chaat:</t>
  </si>
  <si>
    <t>Chat Masala</t>
  </si>
  <si>
    <t>Samosa</t>
  </si>
  <si>
    <t>Samosa Chaat:</t>
  </si>
  <si>
    <t>Garnish – Dhania</t>
  </si>
  <si>
    <t>Nylon Sev</t>
  </si>
  <si>
    <t>350 ml Round Bio bowl</t>
  </si>
  <si>
    <t>Kachori Chaat:</t>
  </si>
  <si>
    <t>Mini Kachori ( fried)</t>
  </si>
  <si>
    <t>Chole Samosa:</t>
  </si>
  <si>
    <t>Onion chopped</t>
  </si>
  <si>
    <t>Ragda Samosa:</t>
  </si>
  <si>
    <t>Chole Kachori:</t>
  </si>
  <si>
    <t>Ragda Kachori:</t>
  </si>
  <si>
    <t>Kadi Samosa:</t>
  </si>
  <si>
    <t>Kadi</t>
  </si>
  <si>
    <t>Kadi Kachori:</t>
  </si>
  <si>
    <t>JAIN</t>
  </si>
  <si>
    <t xml:space="preserve">GARMA - GARAM CHAAT - JAIN </t>
  </si>
  <si>
    <t>Fried Kacche Kele Tikki</t>
  </si>
  <si>
    <t>Kachhe Kele Tikki w Chole:</t>
  </si>
  <si>
    <t>Kachhe Kele Tikki w Ragda:</t>
  </si>
  <si>
    <t>SUBAH KA NASHTA ( 8 AM - 12 PM)</t>
  </si>
  <si>
    <t>Samosa:</t>
  </si>
  <si>
    <t>Kachori</t>
  </si>
  <si>
    <t>Mini Kachori:</t>
  </si>
  <si>
    <t xml:space="preserve">Mini Kachori </t>
  </si>
  <si>
    <t>(3 pcs.)</t>
  </si>
  <si>
    <t>Paneer Chilla:</t>
  </si>
  <si>
    <t>Bio Dish</t>
  </si>
  <si>
    <t>Chatney Vati</t>
  </si>
  <si>
    <t>Munglet Mix Batter</t>
  </si>
  <si>
    <t>Munglet:</t>
  </si>
  <si>
    <t>Diced Vegetables ( Onion, Capsicum, Dhania)</t>
  </si>
  <si>
    <t>Boiled Sweet Corn</t>
  </si>
  <si>
    <t xml:space="preserve">Eno </t>
  </si>
  <si>
    <t>Salt</t>
  </si>
  <si>
    <t>Amul Butter ( for par roasting)</t>
  </si>
  <si>
    <t>Fried Stuffed Mirchi</t>
  </si>
  <si>
    <t>Marwadi Mirchi Vada:</t>
  </si>
  <si>
    <t>Garnish – Chat Masala</t>
  </si>
  <si>
    <t>Chole Bhature:</t>
  </si>
  <si>
    <t xml:space="preserve">Chole </t>
  </si>
  <si>
    <t>Bhature</t>
  </si>
  <si>
    <t>Pickle</t>
  </si>
  <si>
    <t>Green Chatney   - 6 gms.</t>
  </si>
  <si>
    <t>Masala Alu</t>
  </si>
  <si>
    <t>Lemon Wedge</t>
  </si>
  <si>
    <t>Garnish – Laccha Adrak, Dhania</t>
  </si>
  <si>
    <t>Bio Chole Dish ( 4CP Dish)</t>
  </si>
  <si>
    <t>Chole Kulche:</t>
  </si>
  <si>
    <t>Butter Kulche</t>
  </si>
  <si>
    <t>THANDA-THANDA CHAAT</t>
  </si>
  <si>
    <t>Pani Puri:</t>
  </si>
  <si>
    <t>Aata Puri ( 6 pc)</t>
  </si>
  <si>
    <t>Alu Masala</t>
  </si>
  <si>
    <t>Pani</t>
  </si>
  <si>
    <t>Masala Puri</t>
  </si>
  <si>
    <t>Dahi Puri:</t>
  </si>
  <si>
    <t>Sooji Puri</t>
  </si>
  <si>
    <t>Laal masala</t>
  </si>
  <si>
    <t>Saunf Masala</t>
  </si>
  <si>
    <t>Garnish – Julieanne of Beet, Carrot, Dhania (2 gms.)</t>
  </si>
  <si>
    <t>7" Bio Dish</t>
  </si>
  <si>
    <t>Sev Puri:</t>
  </si>
  <si>
    <t>Paapdi</t>
  </si>
  <si>
    <t>Garlic Chatney</t>
  </si>
  <si>
    <t>Onion Chopped</t>
  </si>
  <si>
    <t>Tomato Chopped</t>
  </si>
  <si>
    <t>Garnish - Anaar</t>
  </si>
  <si>
    <t>Garnish –  Dhania</t>
  </si>
  <si>
    <t>Paapdi Chaat</t>
  </si>
  <si>
    <t>Diced Boiled Alu</t>
  </si>
  <si>
    <t>Bundi ( Plain)</t>
  </si>
  <si>
    <t>Bhalla - Paapdi Chaat</t>
  </si>
  <si>
    <t>Bhalla</t>
  </si>
  <si>
    <t>Dahi Bhalla</t>
  </si>
  <si>
    <t>Paalak Patta Chaat</t>
  </si>
  <si>
    <t>Paalak Patta (Fried)</t>
  </si>
  <si>
    <t>Mix Namkeen</t>
  </si>
  <si>
    <t>Raj Kachori</t>
  </si>
  <si>
    <t>Raj kachori</t>
  </si>
  <si>
    <t>Moong Moth Mix</t>
  </si>
  <si>
    <t>Paapdi (crushed)</t>
  </si>
  <si>
    <t>Dressing - Sonth Chatney</t>
  </si>
  <si>
    <t>Dressing - Green Chatney</t>
  </si>
  <si>
    <t>Chowpati Bhel</t>
  </si>
  <si>
    <t>Murmura ( Masala Fried)</t>
  </si>
  <si>
    <t>Bhel Mix Namkeen</t>
  </si>
  <si>
    <t>Chana Dal Namkeen</t>
  </si>
  <si>
    <t>Lemon Wedge ( juice)</t>
  </si>
  <si>
    <t>Roasted Singdana</t>
  </si>
  <si>
    <t>Dhania chopped</t>
  </si>
  <si>
    <t>Garnish – Nylon Sev</t>
  </si>
  <si>
    <t>Jhalmuri</t>
  </si>
  <si>
    <t>Bengali Murmura ( Salted Fried)</t>
  </si>
  <si>
    <t>Boil Desi Chana</t>
  </si>
  <si>
    <t>Green Chilli Chopped</t>
  </si>
  <si>
    <t>Mustard Oil ( Sarso Tel)</t>
  </si>
  <si>
    <t>Dressing - Nylon Sev</t>
  </si>
  <si>
    <t>Moong Moth Masala</t>
  </si>
  <si>
    <t>Garnish – Annar</t>
  </si>
  <si>
    <t>Garnish - Masala Bundi</t>
  </si>
  <si>
    <t>Boiled Desi Chana</t>
  </si>
  <si>
    <t>DIN BHAR, GARMA - GARAM</t>
  </si>
  <si>
    <t xml:space="preserve"> </t>
  </si>
  <si>
    <t>SUBAH KA NASHTA</t>
  </si>
  <si>
    <t>Diced Vegetables ( Capsicum)</t>
  </si>
  <si>
    <t>Dahi Chowpati Bhel</t>
  </si>
  <si>
    <t>(ask customer)</t>
  </si>
  <si>
    <t>( if Swaminarayan Jain)</t>
  </si>
  <si>
    <t>ITEM COST IN %</t>
  </si>
  <si>
    <t>Khasta Kachori:</t>
  </si>
  <si>
    <t>Slice Tomato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</si>
</sst>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rgb="FFFFFF00"/>
      <name val="Calibri"/>
      <family val="2"/>
      <scheme val="minor"/>
    </font>
    <font>
      <b/>
      <sz val="16"/>
      <color rgb="FF00FF00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ED0000"/>
      <name val="Calibri"/>
      <family val="2"/>
      <scheme val="minor"/>
    </font>
    <font>
      <b/>
      <sz val="11"/>
      <color rgb="FF0033CC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u/>
      <sz val="14"/>
      <color rgb="FFFFFF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u/>
      <sz val="12"/>
      <color rgb="FFFFFF00"/>
      <name val="Calibri"/>
      <family val="2"/>
      <scheme val="minor"/>
    </font>
    <font>
      <b/>
      <sz val="16"/>
      <color rgb="FF99FF33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3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2" borderId="0" xfId="0" applyFont="1" applyFill="1" applyAlignment="1">
      <alignment horizontal="left" vertical="center"/>
    </xf>
    <xf numFmtId="0" fontId="4" fillId="2" borderId="0" xfId="0" applyFont="1" applyFill="1"/>
    <xf numFmtId="0" fontId="5" fillId="2" borderId="0" xfId="0" applyFont="1" applyFill="1"/>
    <xf numFmtId="1" fontId="6" fillId="2" borderId="0" xfId="0" applyNumberFormat="1" applyFont="1" applyFill="1" applyAlignment="1">
      <alignment horizontal="center"/>
    </xf>
    <xf numFmtId="0" fontId="7" fillId="0" borderId="0" xfId="0" applyFont="1"/>
    <xf numFmtId="0" fontId="8" fillId="3" borderId="0" xfId="0" applyFont="1" applyFill="1"/>
    <xf numFmtId="164" fontId="0" fillId="0" borderId="0" xfId="0" applyNumberFormat="1"/>
    <xf numFmtId="2" fontId="0" fillId="0" borderId="0" xfId="0" applyNumberFormat="1"/>
    <xf numFmtId="2" fontId="9" fillId="0" borderId="0" xfId="0" applyNumberFormat="1" applyFont="1"/>
    <xf numFmtId="1" fontId="10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2" fontId="2" fillId="0" borderId="0" xfId="0" applyNumberFormat="1" applyFont="1"/>
    <xf numFmtId="2" fontId="12" fillId="0" borderId="0" xfId="0" applyNumberFormat="1" applyFont="1"/>
    <xf numFmtId="1" fontId="2" fillId="0" borderId="0" xfId="0" applyNumberFormat="1" applyFont="1" applyAlignment="1">
      <alignment horizontal="center"/>
    </xf>
    <xf numFmtId="0" fontId="11" fillId="0" borderId="0" xfId="0" applyFont="1" applyAlignment="1">
      <alignment vertical="center"/>
    </xf>
    <xf numFmtId="0" fontId="1" fillId="3" borderId="0" xfId="0" applyFont="1" applyFill="1"/>
    <xf numFmtId="164" fontId="2" fillId="0" borderId="1" xfId="0" applyNumberFormat="1" applyFont="1" applyBorder="1"/>
    <xf numFmtId="2" fontId="0" fillId="0" borderId="1" xfId="0" applyNumberFormat="1" applyBorder="1"/>
    <xf numFmtId="0" fontId="13" fillId="2" borderId="0" xfId="0" applyFont="1" applyFill="1" applyAlignment="1">
      <alignment horizontal="left" vertical="center"/>
    </xf>
    <xf numFmtId="0" fontId="14" fillId="2" borderId="0" xfId="0" applyFont="1" applyFill="1"/>
    <xf numFmtId="0" fontId="15" fillId="2" borderId="0" xfId="0" applyFont="1" applyFill="1"/>
    <xf numFmtId="1" fontId="16" fillId="2" borderId="0" xfId="0" applyNumberFormat="1" applyFont="1" applyFill="1" applyAlignment="1">
      <alignment horizontal="center"/>
    </xf>
    <xf numFmtId="164" fontId="2" fillId="0" borderId="0" xfId="0" applyNumberFormat="1" applyFont="1"/>
    <xf numFmtId="0" fontId="17" fillId="3" borderId="0" xfId="0" applyFont="1" applyFill="1"/>
    <xf numFmtId="0" fontId="18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9" fillId="2" borderId="0" xfId="0" applyFont="1" applyFill="1"/>
    <xf numFmtId="0" fontId="20" fillId="2" borderId="0" xfId="0" applyFont="1" applyFill="1" applyAlignment="1">
      <alignment horizontal="center" vertical="center"/>
    </xf>
    <xf numFmtId="0" fontId="21" fillId="2" borderId="0" xfId="0" applyFont="1" applyFill="1"/>
    <xf numFmtId="0" fontId="1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2" fillId="5" borderId="0" xfId="0" applyFont="1" applyFill="1"/>
    <xf numFmtId="0" fontId="5" fillId="4" borderId="0" xfId="0" applyFont="1" applyFill="1"/>
    <xf numFmtId="1" fontId="6" fillId="4" borderId="0" xfId="0" applyNumberFormat="1" applyFont="1" applyFill="1" applyAlignment="1">
      <alignment horizontal="center"/>
    </xf>
    <xf numFmtId="0" fontId="23" fillId="0" borderId="0" xfId="0" applyFont="1" applyAlignment="1">
      <alignment horizontal="right" vertical="center"/>
    </xf>
    <xf numFmtId="165" fontId="24" fillId="0" borderId="0" xfId="0" applyNumberFormat="1" applyFont="1" applyAlignment="1" applyProtection="1">
      <alignment horizontal="center"/>
      <protection hidden="1"/>
    </xf>
    <xf numFmtId="165" fontId="25" fillId="0" borderId="0" xfId="0" applyNumberFormat="1" applyFont="1" applyAlignment="1" applyProtection="1">
      <alignment horizontal="center"/>
      <protection hidden="1"/>
    </xf>
    <xf numFmtId="165" fontId="25" fillId="0" borderId="0" xfId="0" applyNumberFormat="1" applyFont="1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7"/>
  <sheetViews>
    <sheetView tabSelected="1" workbookViewId="0">
      <selection activeCell="A786" sqref="A786:J870"/>
    </sheetView>
  </sheetViews>
  <sheetFormatPr defaultRowHeight="17.399999999999999" x14ac:dyDescent="0.35"/>
  <cols>
    <col min="1" max="1" width="30.33203125" bestFit="1" customWidth="1"/>
    <col min="2" max="2" width="46" bestFit="1" customWidth="1"/>
    <col min="4" max="4" width="7.5546875" bestFit="1" customWidth="1"/>
    <col min="6" max="6" width="11.109375" bestFit="1" customWidth="1"/>
    <col min="8" max="8" width="16.44140625" bestFit="1" customWidth="1"/>
    <col min="9" max="9" width="11.6640625" style="16" bestFit="1" customWidth="1"/>
    <col min="10" max="10" width="28.6640625" style="39" bestFit="1" customWidth="1"/>
    <col min="11" max="11" width="28.6640625" bestFit="1" customWidth="1"/>
  </cols>
  <sheetData>
    <row r="1" spans="1:11" s="5" customFormat="1" ht="21" x14ac:dyDescent="0.4">
      <c r="A1" s="1"/>
      <c r="B1" s="2" t="s">
        <v>0</v>
      </c>
      <c r="C1" s="3"/>
      <c r="D1" s="3"/>
      <c r="E1" s="3"/>
      <c r="F1" s="3"/>
      <c r="G1" s="3"/>
      <c r="H1" s="3"/>
      <c r="I1" s="4"/>
      <c r="J1" s="39"/>
    </row>
    <row r="4" spans="1:11" ht="15.6" x14ac:dyDescent="0.3">
      <c r="A4" s="6"/>
      <c r="B4" t="s">
        <v>1</v>
      </c>
      <c r="C4" s="7" t="s">
        <v>2</v>
      </c>
      <c r="D4" s="8" t="s">
        <v>3</v>
      </c>
      <c r="E4" s="8" t="s">
        <v>4</v>
      </c>
      <c r="F4" t="s">
        <v>5</v>
      </c>
      <c r="G4" t="s">
        <v>6</v>
      </c>
      <c r="H4" s="9" t="s">
        <v>7</v>
      </c>
      <c r="I4" s="10" t="s">
        <v>8</v>
      </c>
      <c r="J4" s="38" t="s">
        <v>137</v>
      </c>
      <c r="K4" s="11"/>
    </row>
    <row r="5" spans="1:11" ht="18" x14ac:dyDescent="0.35">
      <c r="A5" s="12">
        <v>1</v>
      </c>
      <c r="B5" s="13" t="s">
        <v>9</v>
      </c>
      <c r="C5" s="7">
        <v>2</v>
      </c>
      <c r="D5" s="8">
        <v>6.1</v>
      </c>
      <c r="E5" s="8">
        <f t="shared" ref="E5:E9" si="0">C5*D5</f>
        <v>12.2</v>
      </c>
      <c r="F5" s="14">
        <f>E13</f>
        <v>18.457999999999995</v>
      </c>
      <c r="G5">
        <v>1</v>
      </c>
      <c r="H5" s="15">
        <f>F5/G5</f>
        <v>18.457999999999995</v>
      </c>
      <c r="I5" s="16">
        <v>80</v>
      </c>
      <c r="J5" s="40">
        <f>H5/I5*100</f>
        <v>23.072499999999994</v>
      </c>
    </row>
    <row r="6" spans="1:11" ht="18" x14ac:dyDescent="0.35">
      <c r="A6" s="17" t="s">
        <v>10</v>
      </c>
      <c r="B6" s="13" t="s">
        <v>11</v>
      </c>
      <c r="C6" s="7">
        <v>0.05</v>
      </c>
      <c r="D6" s="8">
        <v>85</v>
      </c>
      <c r="E6" s="8">
        <f t="shared" si="0"/>
        <v>4.25</v>
      </c>
      <c r="H6" s="8"/>
      <c r="J6" s="40"/>
    </row>
    <row r="7" spans="1:11" x14ac:dyDescent="0.35">
      <c r="A7" s="18"/>
      <c r="B7" s="13" t="s">
        <v>12</v>
      </c>
      <c r="C7" s="7">
        <v>1.4999999999999999E-2</v>
      </c>
      <c r="D7" s="8">
        <v>60</v>
      </c>
      <c r="E7" s="8">
        <f t="shared" si="0"/>
        <v>0.89999999999999991</v>
      </c>
      <c r="H7" s="8"/>
      <c r="J7" s="40"/>
    </row>
    <row r="8" spans="1:11" x14ac:dyDescent="0.35">
      <c r="A8" s="18"/>
      <c r="B8" s="13" t="s">
        <v>13</v>
      </c>
      <c r="C8" s="7">
        <v>6.0000000000000001E-3</v>
      </c>
      <c r="D8" s="8">
        <v>118</v>
      </c>
      <c r="E8" s="8">
        <f t="shared" si="0"/>
        <v>0.70799999999999996</v>
      </c>
      <c r="H8" s="8"/>
      <c r="J8" s="40"/>
    </row>
    <row r="9" spans="1:11" x14ac:dyDescent="0.35">
      <c r="A9" s="18"/>
      <c r="B9" s="13" t="s">
        <v>14</v>
      </c>
      <c r="C9" s="7">
        <v>5.0000000000000001E-3</v>
      </c>
      <c r="D9" s="8">
        <v>80</v>
      </c>
      <c r="E9" s="8">
        <f t="shared" si="0"/>
        <v>0.4</v>
      </c>
      <c r="H9" s="8"/>
      <c r="J9" s="40"/>
    </row>
    <row r="10" spans="1:11" x14ac:dyDescent="0.35">
      <c r="A10" s="18"/>
      <c r="B10" s="13" t="s">
        <v>15</v>
      </c>
      <c r="C10" s="7"/>
      <c r="D10" s="8"/>
      <c r="E10" s="8"/>
      <c r="H10" s="8"/>
      <c r="J10" s="40"/>
    </row>
    <row r="11" spans="1:11" x14ac:dyDescent="0.35">
      <c r="A11" s="18"/>
      <c r="B11" s="13" t="s">
        <v>16</v>
      </c>
      <c r="C11" s="7"/>
      <c r="D11" s="8"/>
      <c r="E11" s="8"/>
      <c r="H11" s="8"/>
      <c r="J11" s="40"/>
    </row>
    <row r="12" spans="1:11" x14ac:dyDescent="0.35">
      <c r="A12" s="18"/>
      <c r="B12" s="13" t="s">
        <v>17</v>
      </c>
      <c r="C12" s="7"/>
      <c r="D12" s="8"/>
      <c r="E12" s="8"/>
      <c r="H12" s="8"/>
      <c r="J12" s="40"/>
    </row>
    <row r="13" spans="1:11" x14ac:dyDescent="0.35">
      <c r="A13" s="18"/>
      <c r="C13" s="19"/>
      <c r="D13" s="8"/>
      <c r="E13" s="20">
        <f>SUM(E5:E12)</f>
        <v>18.457999999999995</v>
      </c>
      <c r="H13" s="8"/>
      <c r="J13" s="40"/>
    </row>
    <row r="14" spans="1:11" x14ac:dyDescent="0.35">
      <c r="A14" s="6"/>
      <c r="C14" s="7"/>
      <c r="D14" s="8"/>
      <c r="E14" s="8"/>
      <c r="H14" s="8"/>
      <c r="J14" s="40"/>
    </row>
    <row r="15" spans="1:11" x14ac:dyDescent="0.35">
      <c r="J15" s="40"/>
    </row>
    <row r="16" spans="1:11" ht="15.6" x14ac:dyDescent="0.3">
      <c r="A16" s="6"/>
      <c r="B16" t="s">
        <v>1</v>
      </c>
      <c r="C16" s="7" t="s">
        <v>2</v>
      </c>
      <c r="D16" s="8" t="s">
        <v>3</v>
      </c>
      <c r="E16" s="8" t="s">
        <v>4</v>
      </c>
      <c r="F16" t="s">
        <v>5</v>
      </c>
      <c r="G16" t="s">
        <v>6</v>
      </c>
      <c r="H16" s="9" t="s">
        <v>7</v>
      </c>
      <c r="I16" s="10" t="s">
        <v>8</v>
      </c>
      <c r="J16" s="38" t="s">
        <v>137</v>
      </c>
    </row>
    <row r="17" spans="1:10" ht="18" x14ac:dyDescent="0.35">
      <c r="A17" s="12">
        <v>2</v>
      </c>
      <c r="B17" s="13" t="s">
        <v>18</v>
      </c>
      <c r="C17" s="7">
        <v>2</v>
      </c>
      <c r="D17" s="8">
        <v>6.1</v>
      </c>
      <c r="E17" s="8">
        <f t="shared" ref="E17:E21" si="1">C17*D17</f>
        <v>12.2</v>
      </c>
      <c r="F17" s="14">
        <f>E25</f>
        <v>36.165999999999997</v>
      </c>
      <c r="G17">
        <v>1</v>
      </c>
      <c r="H17" s="15">
        <f>F17/G17</f>
        <v>36.165999999999997</v>
      </c>
      <c r="I17" s="16">
        <v>100</v>
      </c>
      <c r="J17" s="40">
        <f t="shared" ref="J17:J68" si="2">H17/I17*100</f>
        <v>36.165999999999997</v>
      </c>
    </row>
    <row r="18" spans="1:10" ht="18" x14ac:dyDescent="0.35">
      <c r="A18" s="17" t="s">
        <v>19</v>
      </c>
      <c r="B18" s="13" t="s">
        <v>20</v>
      </c>
      <c r="C18" s="7">
        <v>0.12</v>
      </c>
      <c r="D18" s="8">
        <v>185</v>
      </c>
      <c r="E18" s="8">
        <f t="shared" si="1"/>
        <v>22.2</v>
      </c>
      <c r="H18" s="8"/>
      <c r="J18" s="40"/>
    </row>
    <row r="19" spans="1:10" x14ac:dyDescent="0.35">
      <c r="A19" s="18"/>
      <c r="B19" s="13" t="s">
        <v>12</v>
      </c>
      <c r="C19" s="7">
        <v>1.2999999999999999E-2</v>
      </c>
      <c r="D19" s="8">
        <v>60</v>
      </c>
      <c r="E19" s="8">
        <f t="shared" si="1"/>
        <v>0.77999999999999992</v>
      </c>
      <c r="H19" s="8"/>
      <c r="J19" s="40"/>
    </row>
    <row r="20" spans="1:10" x14ac:dyDescent="0.35">
      <c r="A20" s="18"/>
      <c r="B20" s="13" t="s">
        <v>13</v>
      </c>
      <c r="C20" s="7">
        <v>7.0000000000000001E-3</v>
      </c>
      <c r="D20" s="8">
        <v>118</v>
      </c>
      <c r="E20" s="8">
        <f t="shared" si="1"/>
        <v>0.82600000000000007</v>
      </c>
      <c r="H20" s="8"/>
      <c r="J20" s="40"/>
    </row>
    <row r="21" spans="1:10" x14ac:dyDescent="0.35">
      <c r="A21" s="18"/>
      <c r="B21" s="13" t="s">
        <v>96</v>
      </c>
      <c r="C21" s="7">
        <v>2E-3</v>
      </c>
      <c r="D21" s="8">
        <v>80</v>
      </c>
      <c r="E21" s="8">
        <f t="shared" si="1"/>
        <v>0.16</v>
      </c>
      <c r="H21" s="8"/>
      <c r="J21" s="40"/>
    </row>
    <row r="22" spans="1:10" x14ac:dyDescent="0.35">
      <c r="A22" s="18"/>
      <c r="B22" s="13"/>
      <c r="C22" s="7"/>
      <c r="D22" s="8"/>
      <c r="E22" s="8"/>
      <c r="H22" s="8"/>
      <c r="J22" s="40"/>
    </row>
    <row r="23" spans="1:10" x14ac:dyDescent="0.35">
      <c r="A23" s="18"/>
      <c r="B23" s="13"/>
      <c r="C23" s="7"/>
      <c r="D23" s="8"/>
      <c r="E23" s="8"/>
      <c r="H23" s="8"/>
      <c r="J23" s="40"/>
    </row>
    <row r="24" spans="1:10" x14ac:dyDescent="0.35">
      <c r="A24" s="18"/>
      <c r="B24" s="13"/>
      <c r="C24" s="7"/>
      <c r="D24" s="8"/>
      <c r="E24" s="8"/>
      <c r="H24" s="8"/>
      <c r="J24" s="40"/>
    </row>
    <row r="25" spans="1:10" x14ac:dyDescent="0.35">
      <c r="A25" s="18"/>
      <c r="C25" s="19"/>
      <c r="D25" s="8"/>
      <c r="E25" s="20">
        <f>SUM(E17:E24)</f>
        <v>36.165999999999997</v>
      </c>
      <c r="H25" s="8"/>
      <c r="J25" s="40"/>
    </row>
    <row r="26" spans="1:10" x14ac:dyDescent="0.35">
      <c r="J26" s="40"/>
    </row>
    <row r="27" spans="1:10" x14ac:dyDescent="0.35">
      <c r="J27" s="40"/>
    </row>
    <row r="28" spans="1:10" ht="15.6" x14ac:dyDescent="0.3">
      <c r="A28" s="6"/>
      <c r="B28" t="s">
        <v>1</v>
      </c>
      <c r="C28" s="7" t="s">
        <v>2</v>
      </c>
      <c r="D28" s="8" t="s">
        <v>3</v>
      </c>
      <c r="E28" s="8" t="s">
        <v>4</v>
      </c>
      <c r="F28" t="s">
        <v>5</v>
      </c>
      <c r="G28" t="s">
        <v>6</v>
      </c>
      <c r="H28" s="9" t="s">
        <v>7</v>
      </c>
      <c r="I28" s="10" t="s">
        <v>8</v>
      </c>
      <c r="J28" s="38" t="s">
        <v>137</v>
      </c>
    </row>
    <row r="29" spans="1:10" ht="18" x14ac:dyDescent="0.35">
      <c r="A29" s="12">
        <v>3</v>
      </c>
      <c r="B29" s="13" t="s">
        <v>9</v>
      </c>
      <c r="C29" s="7">
        <v>2</v>
      </c>
      <c r="D29" s="8">
        <v>6.1</v>
      </c>
      <c r="E29" s="8">
        <f t="shared" ref="E29:E34" si="3">C29*D29</f>
        <v>12.2</v>
      </c>
      <c r="F29" s="14">
        <f>E38</f>
        <v>19.223999999999997</v>
      </c>
      <c r="G29">
        <v>1</v>
      </c>
      <c r="H29" s="15">
        <f>F29/G29</f>
        <v>19.223999999999997</v>
      </c>
      <c r="I29" s="16">
        <v>90</v>
      </c>
      <c r="J29" s="40">
        <f t="shared" si="2"/>
        <v>21.359999999999996</v>
      </c>
    </row>
    <row r="30" spans="1:10" ht="18" x14ac:dyDescent="0.35">
      <c r="A30" s="17" t="s">
        <v>21</v>
      </c>
      <c r="B30" s="13" t="s">
        <v>22</v>
      </c>
      <c r="C30" s="7">
        <v>0.105</v>
      </c>
      <c r="D30" s="8">
        <v>42</v>
      </c>
      <c r="E30" s="8">
        <f t="shared" si="3"/>
        <v>4.41</v>
      </c>
      <c r="H30" s="8"/>
      <c r="J30" s="40"/>
    </row>
    <row r="31" spans="1:10" x14ac:dyDescent="0.35">
      <c r="A31" s="18"/>
      <c r="B31" s="13" t="s">
        <v>12</v>
      </c>
      <c r="C31" s="7">
        <v>1.4999999999999999E-2</v>
      </c>
      <c r="D31" s="8">
        <v>60</v>
      </c>
      <c r="E31" s="8">
        <f t="shared" si="3"/>
        <v>0.89999999999999991</v>
      </c>
      <c r="H31" s="8"/>
      <c r="J31" s="40"/>
    </row>
    <row r="32" spans="1:10" x14ac:dyDescent="0.35">
      <c r="A32" s="18"/>
      <c r="B32" s="13" t="s">
        <v>23</v>
      </c>
      <c r="C32" s="7">
        <v>0.01</v>
      </c>
      <c r="D32" s="8">
        <v>118</v>
      </c>
      <c r="E32" s="8">
        <f t="shared" si="3"/>
        <v>1.18</v>
      </c>
      <c r="H32" s="8"/>
      <c r="J32" s="40"/>
    </row>
    <row r="33" spans="1:10" x14ac:dyDescent="0.35">
      <c r="A33" s="18"/>
      <c r="B33" s="13" t="s">
        <v>24</v>
      </c>
      <c r="C33" s="7">
        <v>1.0999999999999999E-2</v>
      </c>
      <c r="D33" s="8">
        <v>34</v>
      </c>
      <c r="E33" s="8">
        <f t="shared" si="3"/>
        <v>0.374</v>
      </c>
      <c r="H33" s="8"/>
      <c r="J33" s="40"/>
    </row>
    <row r="34" spans="1:10" x14ac:dyDescent="0.35">
      <c r="A34" s="18"/>
      <c r="B34" s="13" t="s">
        <v>96</v>
      </c>
      <c r="C34" s="7">
        <v>2E-3</v>
      </c>
      <c r="D34" s="8">
        <v>80</v>
      </c>
      <c r="E34" s="8">
        <f t="shared" si="3"/>
        <v>0.16</v>
      </c>
      <c r="H34" s="8"/>
      <c r="J34" s="40"/>
    </row>
    <row r="35" spans="1:10" x14ac:dyDescent="0.35">
      <c r="A35" s="18"/>
      <c r="B35" s="13"/>
      <c r="C35" s="7"/>
      <c r="D35" s="8"/>
      <c r="E35" s="8"/>
      <c r="H35" s="8"/>
      <c r="J35" s="40"/>
    </row>
    <row r="36" spans="1:10" x14ac:dyDescent="0.35">
      <c r="A36" s="18"/>
      <c r="B36" s="13"/>
      <c r="C36" s="7"/>
      <c r="D36" s="8"/>
      <c r="E36" s="8"/>
      <c r="H36" s="8"/>
      <c r="J36" s="40"/>
    </row>
    <row r="37" spans="1:10" x14ac:dyDescent="0.35">
      <c r="A37" s="18"/>
      <c r="B37" s="13"/>
      <c r="C37" s="7"/>
      <c r="D37" s="8"/>
      <c r="E37" s="8"/>
      <c r="H37" s="8"/>
      <c r="J37" s="40"/>
    </row>
    <row r="38" spans="1:10" x14ac:dyDescent="0.35">
      <c r="A38" s="18"/>
      <c r="C38" s="19"/>
      <c r="D38" s="8"/>
      <c r="E38" s="20">
        <f>SUM(E29:E37)</f>
        <v>19.223999999999997</v>
      </c>
      <c r="H38" s="8"/>
      <c r="J38" s="40"/>
    </row>
    <row r="39" spans="1:10" x14ac:dyDescent="0.35">
      <c r="J39" s="40"/>
    </row>
    <row r="40" spans="1:10" x14ac:dyDescent="0.35">
      <c r="J40" s="40"/>
    </row>
    <row r="41" spans="1:10" ht="15.6" x14ac:dyDescent="0.3">
      <c r="A41" s="6"/>
      <c r="B41" t="s">
        <v>1</v>
      </c>
      <c r="C41" s="7" t="s">
        <v>2</v>
      </c>
      <c r="D41" s="8" t="s">
        <v>3</v>
      </c>
      <c r="E41" s="8" t="s">
        <v>4</v>
      </c>
      <c r="F41" t="s">
        <v>5</v>
      </c>
      <c r="G41" t="s">
        <v>6</v>
      </c>
      <c r="H41" s="9" t="s">
        <v>7</v>
      </c>
      <c r="I41" s="10" t="s">
        <v>8</v>
      </c>
      <c r="J41" s="38" t="s">
        <v>137</v>
      </c>
    </row>
    <row r="42" spans="1:10" ht="18" x14ac:dyDescent="0.35">
      <c r="A42" s="12">
        <v>4</v>
      </c>
      <c r="B42" s="13" t="s">
        <v>25</v>
      </c>
      <c r="C42" s="7">
        <v>1</v>
      </c>
      <c r="D42" s="8">
        <v>22</v>
      </c>
      <c r="E42" s="8">
        <f t="shared" ref="E42:E46" si="4">C42*D42</f>
        <v>22</v>
      </c>
      <c r="F42" s="14">
        <f>E50</f>
        <v>28.898</v>
      </c>
      <c r="G42">
        <v>1</v>
      </c>
      <c r="H42" s="15">
        <f>F42/G42</f>
        <v>28.898</v>
      </c>
      <c r="I42" s="16">
        <v>75</v>
      </c>
      <c r="J42" s="40">
        <f>H42/I42*100</f>
        <v>38.530666666666669</v>
      </c>
    </row>
    <row r="43" spans="1:10" ht="18" x14ac:dyDescent="0.35">
      <c r="A43" s="17" t="s">
        <v>26</v>
      </c>
      <c r="B43" s="13" t="s">
        <v>11</v>
      </c>
      <c r="C43" s="7">
        <v>0.05</v>
      </c>
      <c r="D43" s="8">
        <v>85</v>
      </c>
      <c r="E43" s="8">
        <f t="shared" si="4"/>
        <v>4.25</v>
      </c>
      <c r="H43" s="8"/>
      <c r="J43" s="40"/>
    </row>
    <row r="44" spans="1:10" x14ac:dyDescent="0.35">
      <c r="A44" s="18"/>
      <c r="B44" s="13" t="s">
        <v>13</v>
      </c>
      <c r="C44" s="7">
        <v>1.6E-2</v>
      </c>
      <c r="D44" s="8">
        <v>118</v>
      </c>
      <c r="E44" s="8">
        <f t="shared" si="4"/>
        <v>1.8880000000000001</v>
      </c>
      <c r="H44" s="8"/>
      <c r="J44" s="40"/>
    </row>
    <row r="45" spans="1:10" x14ac:dyDescent="0.35">
      <c r="A45" s="18"/>
      <c r="B45" s="13" t="s">
        <v>27</v>
      </c>
      <c r="C45" s="7">
        <v>2E-3</v>
      </c>
      <c r="D45" s="8">
        <v>180</v>
      </c>
      <c r="E45" s="8">
        <f t="shared" si="4"/>
        <v>0.36</v>
      </c>
      <c r="H45" s="8"/>
      <c r="J45" s="40"/>
    </row>
    <row r="46" spans="1:10" x14ac:dyDescent="0.35">
      <c r="A46" s="18"/>
      <c r="B46" s="13" t="s">
        <v>96</v>
      </c>
      <c r="C46" s="7">
        <v>5.0000000000000001E-3</v>
      </c>
      <c r="D46" s="8">
        <v>80</v>
      </c>
      <c r="E46" s="8">
        <f t="shared" si="4"/>
        <v>0.4</v>
      </c>
      <c r="H46" s="8"/>
      <c r="J46" s="40"/>
    </row>
    <row r="47" spans="1:10" x14ac:dyDescent="0.35">
      <c r="A47" s="18"/>
      <c r="B47" s="13"/>
      <c r="C47" s="7"/>
      <c r="D47" s="8"/>
      <c r="E47" s="8"/>
      <c r="H47" s="8"/>
      <c r="J47" s="40"/>
    </row>
    <row r="48" spans="1:10" x14ac:dyDescent="0.35">
      <c r="A48" s="18"/>
      <c r="B48" s="13"/>
      <c r="C48" s="7"/>
      <c r="D48" s="8"/>
      <c r="E48" s="8"/>
      <c r="H48" s="8"/>
      <c r="J48" s="40"/>
    </row>
    <row r="49" spans="1:10" x14ac:dyDescent="0.35">
      <c r="A49" s="18"/>
      <c r="B49" s="13"/>
      <c r="C49" s="7"/>
      <c r="D49" s="8"/>
      <c r="E49" s="8"/>
      <c r="H49" s="8"/>
      <c r="J49" s="40"/>
    </row>
    <row r="50" spans="1:10" x14ac:dyDescent="0.35">
      <c r="A50" s="18"/>
      <c r="C50" s="19"/>
      <c r="D50" s="8"/>
      <c r="E50" s="20">
        <f>SUM(E42:E49)</f>
        <v>28.898</v>
      </c>
      <c r="H50" s="8"/>
      <c r="J50" s="40"/>
    </row>
    <row r="51" spans="1:10" x14ac:dyDescent="0.35">
      <c r="J51" s="40"/>
    </row>
    <row r="52" spans="1:10" x14ac:dyDescent="0.35">
      <c r="J52" s="40"/>
    </row>
    <row r="53" spans="1:10" x14ac:dyDescent="0.35">
      <c r="J53" s="40"/>
    </row>
    <row r="54" spans="1:10" ht="15.6" x14ac:dyDescent="0.3">
      <c r="A54" s="6"/>
      <c r="B54" t="s">
        <v>1</v>
      </c>
      <c r="C54" s="7" t="s">
        <v>2</v>
      </c>
      <c r="D54" s="8" t="s">
        <v>3</v>
      </c>
      <c r="E54" s="8" t="s">
        <v>4</v>
      </c>
      <c r="F54" t="s">
        <v>5</v>
      </c>
      <c r="G54" t="s">
        <v>6</v>
      </c>
      <c r="H54" s="9" t="s">
        <v>7</v>
      </c>
      <c r="I54" s="10" t="s">
        <v>8</v>
      </c>
      <c r="J54" s="38" t="s">
        <v>137</v>
      </c>
    </row>
    <row r="55" spans="1:10" ht="18" x14ac:dyDescent="0.35">
      <c r="A55" s="12">
        <v>5</v>
      </c>
      <c r="B55" s="13" t="s">
        <v>28</v>
      </c>
      <c r="C55" s="7">
        <v>1</v>
      </c>
      <c r="D55" s="8">
        <v>12.1</v>
      </c>
      <c r="E55" s="8">
        <f t="shared" ref="E55:E60" si="5">C55*D55</f>
        <v>12.1</v>
      </c>
      <c r="F55" s="14">
        <f>E64</f>
        <v>19.154000000000003</v>
      </c>
      <c r="G55">
        <v>1</v>
      </c>
      <c r="H55" s="15">
        <f>F55/G55</f>
        <v>19.154000000000003</v>
      </c>
      <c r="I55" s="16">
        <v>60</v>
      </c>
      <c r="J55" s="40">
        <f t="shared" si="2"/>
        <v>31.923333333333336</v>
      </c>
    </row>
    <row r="56" spans="1:10" ht="18" x14ac:dyDescent="0.35">
      <c r="A56" s="17" t="s">
        <v>29</v>
      </c>
      <c r="B56" s="13" t="s">
        <v>11</v>
      </c>
      <c r="C56" s="7">
        <v>0.05</v>
      </c>
      <c r="D56" s="8">
        <v>85</v>
      </c>
      <c r="E56" s="8">
        <f t="shared" si="5"/>
        <v>4.25</v>
      </c>
      <c r="H56" s="8"/>
      <c r="J56" s="40"/>
    </row>
    <row r="57" spans="1:10" x14ac:dyDescent="0.35">
      <c r="A57" s="18"/>
      <c r="B57" s="13" t="s">
        <v>12</v>
      </c>
      <c r="C57" s="7">
        <v>0.01</v>
      </c>
      <c r="D57" s="8">
        <v>60</v>
      </c>
      <c r="E57" s="8">
        <f t="shared" si="5"/>
        <v>0.6</v>
      </c>
      <c r="H57" s="8"/>
      <c r="J57" s="40"/>
    </row>
    <row r="58" spans="1:10" x14ac:dyDescent="0.35">
      <c r="A58" s="18"/>
      <c r="B58" s="13" t="s">
        <v>13</v>
      </c>
      <c r="C58" s="7">
        <v>8.0000000000000002E-3</v>
      </c>
      <c r="D58" s="8">
        <v>118</v>
      </c>
      <c r="E58" s="8">
        <f t="shared" si="5"/>
        <v>0.94400000000000006</v>
      </c>
      <c r="H58" s="8"/>
      <c r="J58" s="40"/>
    </row>
    <row r="59" spans="1:10" x14ac:dyDescent="0.35">
      <c r="A59" s="18"/>
      <c r="B59" s="13" t="s">
        <v>30</v>
      </c>
      <c r="C59" s="7">
        <v>2E-3</v>
      </c>
      <c r="D59" s="8">
        <v>80</v>
      </c>
      <c r="E59" s="8">
        <f t="shared" si="5"/>
        <v>0.16</v>
      </c>
      <c r="H59" s="8"/>
      <c r="J59" s="40"/>
    </row>
    <row r="60" spans="1:10" x14ac:dyDescent="0.35">
      <c r="A60" s="18"/>
      <c r="B60" s="13" t="s">
        <v>31</v>
      </c>
      <c r="C60" s="7">
        <v>5.0000000000000001E-3</v>
      </c>
      <c r="D60" s="8">
        <v>220</v>
      </c>
      <c r="E60" s="8">
        <f t="shared" si="5"/>
        <v>1.1000000000000001</v>
      </c>
      <c r="H60" s="8"/>
      <c r="J60" s="40"/>
    </row>
    <row r="61" spans="1:10" x14ac:dyDescent="0.35">
      <c r="A61" s="18"/>
      <c r="B61" s="13"/>
      <c r="C61" s="7"/>
      <c r="D61" s="8"/>
      <c r="E61" s="8"/>
      <c r="H61" s="8"/>
      <c r="J61" s="40"/>
    </row>
    <row r="62" spans="1:10" x14ac:dyDescent="0.35">
      <c r="A62" s="18"/>
      <c r="B62" s="13"/>
      <c r="C62" s="7"/>
      <c r="D62" s="8"/>
      <c r="E62" s="8"/>
      <c r="H62" s="8"/>
      <c r="J62" s="40"/>
    </row>
    <row r="63" spans="1:10" x14ac:dyDescent="0.35">
      <c r="A63" s="18"/>
      <c r="B63" s="13"/>
      <c r="C63" s="7"/>
      <c r="D63" s="8"/>
      <c r="E63" s="8"/>
      <c r="H63" s="8"/>
      <c r="J63" s="40"/>
    </row>
    <row r="64" spans="1:10" x14ac:dyDescent="0.35">
      <c r="A64" s="18"/>
      <c r="C64" s="19"/>
      <c r="D64" s="8"/>
      <c r="E64" s="20">
        <f>SUM(E55:E63)</f>
        <v>19.154000000000003</v>
      </c>
      <c r="H64" s="8"/>
      <c r="J64" s="40"/>
    </row>
    <row r="65" spans="1:10" x14ac:dyDescent="0.35">
      <c r="J65" s="40"/>
    </row>
    <row r="66" spans="1:10" x14ac:dyDescent="0.35">
      <c r="J66" s="40"/>
    </row>
    <row r="67" spans="1:10" ht="18" x14ac:dyDescent="0.3">
      <c r="A67" s="12">
        <v>6</v>
      </c>
      <c r="B67" t="s">
        <v>1</v>
      </c>
      <c r="C67" s="7" t="s">
        <v>2</v>
      </c>
      <c r="D67" s="8" t="s">
        <v>3</v>
      </c>
      <c r="E67" s="8" t="s">
        <v>4</v>
      </c>
      <c r="F67" t="s">
        <v>5</v>
      </c>
      <c r="G67" t="s">
        <v>6</v>
      </c>
      <c r="H67" s="9" t="s">
        <v>7</v>
      </c>
      <c r="I67" s="10" t="s">
        <v>8</v>
      </c>
      <c r="J67" s="38" t="s">
        <v>137</v>
      </c>
    </row>
    <row r="68" spans="1:10" ht="18" x14ac:dyDescent="0.35">
      <c r="A68" s="17" t="s">
        <v>33</v>
      </c>
      <c r="B68" s="13" t="s">
        <v>34</v>
      </c>
      <c r="C68" s="7">
        <v>3</v>
      </c>
      <c r="D68" s="8">
        <v>3.5</v>
      </c>
      <c r="E68" s="8">
        <f>C68*D68</f>
        <v>10.5</v>
      </c>
      <c r="F68" s="14">
        <f>E77</f>
        <v>17.554000000000002</v>
      </c>
      <c r="G68">
        <v>1</v>
      </c>
      <c r="H68" s="15">
        <f>F68/G68</f>
        <v>17.554000000000002</v>
      </c>
      <c r="I68" s="16">
        <v>60</v>
      </c>
      <c r="J68" s="40">
        <f t="shared" si="2"/>
        <v>29.256666666666671</v>
      </c>
    </row>
    <row r="69" spans="1:10" x14ac:dyDescent="0.35">
      <c r="B69" s="13" t="s">
        <v>11</v>
      </c>
      <c r="C69" s="7">
        <v>0.05</v>
      </c>
      <c r="D69" s="8">
        <v>85</v>
      </c>
      <c r="E69" s="8">
        <f t="shared" ref="E69:E73" si="6">C69*D69</f>
        <v>4.25</v>
      </c>
      <c r="H69" s="8"/>
      <c r="J69" s="40"/>
    </row>
    <row r="70" spans="1:10" x14ac:dyDescent="0.35">
      <c r="A70" s="18"/>
      <c r="B70" s="13" t="s">
        <v>12</v>
      </c>
      <c r="C70" s="7">
        <v>0.01</v>
      </c>
      <c r="D70" s="8">
        <v>60</v>
      </c>
      <c r="E70" s="8">
        <f t="shared" si="6"/>
        <v>0.6</v>
      </c>
      <c r="H70" s="8"/>
      <c r="J70" s="40"/>
    </row>
    <row r="71" spans="1:10" x14ac:dyDescent="0.35">
      <c r="A71" s="18"/>
      <c r="B71" s="13" t="s">
        <v>13</v>
      </c>
      <c r="C71" s="7">
        <v>8.0000000000000002E-3</v>
      </c>
      <c r="D71" s="8">
        <v>118</v>
      </c>
      <c r="E71" s="8">
        <f t="shared" si="6"/>
        <v>0.94400000000000006</v>
      </c>
      <c r="H71" s="8"/>
      <c r="J71" s="40"/>
    </row>
    <row r="72" spans="1:10" x14ac:dyDescent="0.35">
      <c r="A72" s="18"/>
      <c r="B72" s="13" t="s">
        <v>30</v>
      </c>
      <c r="C72" s="7">
        <v>2E-3</v>
      </c>
      <c r="D72" s="8">
        <v>80</v>
      </c>
      <c r="E72" s="8">
        <f t="shared" si="6"/>
        <v>0.16</v>
      </c>
      <c r="H72" s="8"/>
      <c r="J72" s="40"/>
    </row>
    <row r="73" spans="1:10" x14ac:dyDescent="0.35">
      <c r="A73" s="18"/>
      <c r="B73" s="13" t="s">
        <v>31</v>
      </c>
      <c r="C73" s="7">
        <v>5.0000000000000001E-3</v>
      </c>
      <c r="D73" s="8">
        <v>220</v>
      </c>
      <c r="E73" s="8">
        <f t="shared" si="6"/>
        <v>1.1000000000000001</v>
      </c>
      <c r="H73" s="8"/>
      <c r="J73" s="40"/>
    </row>
    <row r="74" spans="1:10" x14ac:dyDescent="0.35">
      <c r="A74" s="18"/>
      <c r="B74" s="13"/>
      <c r="C74" s="7"/>
      <c r="D74" s="8"/>
      <c r="E74" s="8"/>
      <c r="H74" s="8"/>
      <c r="J74" s="40"/>
    </row>
    <row r="75" spans="1:10" x14ac:dyDescent="0.35">
      <c r="A75" s="18"/>
      <c r="B75" s="13"/>
      <c r="C75" s="7"/>
      <c r="D75" s="8"/>
      <c r="E75" s="8"/>
      <c r="H75" s="8"/>
      <c r="J75" s="40"/>
    </row>
    <row r="76" spans="1:10" x14ac:dyDescent="0.35">
      <c r="A76" s="18"/>
      <c r="B76" s="13"/>
      <c r="C76" s="7"/>
      <c r="D76" s="8"/>
      <c r="E76" s="8"/>
      <c r="H76" s="8"/>
      <c r="J76" s="40"/>
    </row>
    <row r="77" spans="1:10" x14ac:dyDescent="0.35">
      <c r="C77" s="19"/>
      <c r="D77" s="8"/>
      <c r="E77" s="20">
        <f>SUM(E68:E76)</f>
        <v>17.554000000000002</v>
      </c>
      <c r="H77" s="8"/>
      <c r="J77" s="40"/>
    </row>
    <row r="78" spans="1:10" x14ac:dyDescent="0.35">
      <c r="J78" s="40"/>
    </row>
    <row r="79" spans="1:10" x14ac:dyDescent="0.35">
      <c r="J79" s="40"/>
    </row>
    <row r="80" spans="1:10" ht="15.6" x14ac:dyDescent="0.3">
      <c r="A80" s="6"/>
      <c r="B80" t="s">
        <v>1</v>
      </c>
      <c r="C80" s="7" t="s">
        <v>2</v>
      </c>
      <c r="D80" s="8" t="s">
        <v>3</v>
      </c>
      <c r="E80" s="8" t="s">
        <v>4</v>
      </c>
      <c r="F80" t="s">
        <v>5</v>
      </c>
      <c r="G80" t="s">
        <v>6</v>
      </c>
      <c r="H80" s="9" t="s">
        <v>7</v>
      </c>
      <c r="I80" s="10" t="s">
        <v>8</v>
      </c>
      <c r="J80" s="38" t="s">
        <v>137</v>
      </c>
    </row>
    <row r="81" spans="1:10" ht="18" x14ac:dyDescent="0.35">
      <c r="A81" s="12">
        <v>7</v>
      </c>
      <c r="B81" s="13" t="s">
        <v>28</v>
      </c>
      <c r="C81" s="7">
        <v>1</v>
      </c>
      <c r="D81" s="8">
        <v>12.1</v>
      </c>
      <c r="E81" s="8">
        <f t="shared" ref="E81:E86" si="7">C81*D81</f>
        <v>12.1</v>
      </c>
      <c r="F81" s="14">
        <f>E90</f>
        <v>34.864000000000004</v>
      </c>
      <c r="G81">
        <v>1</v>
      </c>
      <c r="H81" s="15">
        <f>F81/G81</f>
        <v>34.864000000000004</v>
      </c>
      <c r="I81" s="16">
        <v>80</v>
      </c>
      <c r="J81" s="40">
        <f t="shared" ref="J81:J120" si="8">H81/I81*100</f>
        <v>43.580000000000005</v>
      </c>
    </row>
    <row r="82" spans="1:10" ht="18" x14ac:dyDescent="0.35">
      <c r="A82" s="17" t="s">
        <v>35</v>
      </c>
      <c r="B82" s="13" t="s">
        <v>20</v>
      </c>
      <c r="C82" s="7">
        <v>0.112</v>
      </c>
      <c r="D82" s="8">
        <v>185</v>
      </c>
      <c r="E82" s="8">
        <f t="shared" si="7"/>
        <v>20.72</v>
      </c>
      <c r="H82" s="8"/>
      <c r="J82" s="40"/>
    </row>
    <row r="83" spans="1:10" x14ac:dyDescent="0.35">
      <c r="A83" s="18"/>
      <c r="B83" s="13" t="s">
        <v>12</v>
      </c>
      <c r="C83" s="7">
        <v>0.01</v>
      </c>
      <c r="D83" s="8">
        <v>60</v>
      </c>
      <c r="E83" s="8">
        <f t="shared" si="7"/>
        <v>0.6</v>
      </c>
      <c r="H83" s="8"/>
      <c r="J83" s="40"/>
    </row>
    <row r="84" spans="1:10" x14ac:dyDescent="0.35">
      <c r="A84" s="18"/>
      <c r="B84" s="13" t="s">
        <v>13</v>
      </c>
      <c r="C84" s="7">
        <v>8.0000000000000002E-3</v>
      </c>
      <c r="D84" s="8">
        <v>118</v>
      </c>
      <c r="E84" s="8">
        <f t="shared" si="7"/>
        <v>0.94400000000000006</v>
      </c>
      <c r="H84" s="8"/>
      <c r="J84" s="40"/>
    </row>
    <row r="85" spans="1:10" x14ac:dyDescent="0.35">
      <c r="A85" s="18"/>
      <c r="B85" s="13" t="s">
        <v>36</v>
      </c>
      <c r="C85" s="7">
        <v>0.01</v>
      </c>
      <c r="D85" s="8">
        <v>34</v>
      </c>
      <c r="E85" s="8">
        <f t="shared" si="7"/>
        <v>0.34</v>
      </c>
      <c r="H85" s="8"/>
      <c r="J85" s="40"/>
    </row>
    <row r="86" spans="1:10" x14ac:dyDescent="0.35">
      <c r="A86" s="18"/>
      <c r="B86" s="13" t="s">
        <v>30</v>
      </c>
      <c r="C86" s="7">
        <v>2E-3</v>
      </c>
      <c r="D86" s="8">
        <v>80</v>
      </c>
      <c r="E86" s="8">
        <f t="shared" si="7"/>
        <v>0.16</v>
      </c>
      <c r="H86" s="8"/>
      <c r="J86" s="40"/>
    </row>
    <row r="87" spans="1:10" x14ac:dyDescent="0.35">
      <c r="A87" s="18"/>
      <c r="B87" s="13"/>
      <c r="C87" s="7"/>
      <c r="D87" s="8"/>
      <c r="E87" s="8"/>
      <c r="H87" s="8"/>
      <c r="J87" s="40"/>
    </row>
    <row r="88" spans="1:10" x14ac:dyDescent="0.35">
      <c r="A88" s="18"/>
      <c r="B88" s="13"/>
      <c r="C88" s="7"/>
      <c r="D88" s="8"/>
      <c r="E88" s="8"/>
      <c r="H88" s="8"/>
      <c r="J88" s="40"/>
    </row>
    <row r="89" spans="1:10" x14ac:dyDescent="0.35">
      <c r="A89" s="18"/>
      <c r="B89" s="13"/>
      <c r="C89" s="7"/>
      <c r="D89" s="8"/>
      <c r="E89" s="8"/>
      <c r="H89" s="8"/>
      <c r="J89" s="40"/>
    </row>
    <row r="90" spans="1:10" x14ac:dyDescent="0.35">
      <c r="A90" s="18"/>
      <c r="C90" s="19"/>
      <c r="D90" s="8"/>
      <c r="E90" s="20">
        <f>SUM(E81:E89)</f>
        <v>34.864000000000004</v>
      </c>
      <c r="H90" s="8"/>
      <c r="J90" s="40"/>
    </row>
    <row r="91" spans="1:10" x14ac:dyDescent="0.35">
      <c r="J91" s="40"/>
    </row>
    <row r="92" spans="1:10" x14ac:dyDescent="0.35">
      <c r="J92" s="40"/>
    </row>
    <row r="93" spans="1:10" ht="15.6" x14ac:dyDescent="0.3">
      <c r="A93" s="6"/>
      <c r="B93" t="s">
        <v>1</v>
      </c>
      <c r="C93" s="7" t="s">
        <v>2</v>
      </c>
      <c r="D93" s="8" t="s">
        <v>3</v>
      </c>
      <c r="E93" s="8" t="s">
        <v>4</v>
      </c>
      <c r="F93" t="s">
        <v>5</v>
      </c>
      <c r="G93" t="s">
        <v>6</v>
      </c>
      <c r="H93" s="9" t="s">
        <v>7</v>
      </c>
      <c r="I93" s="10" t="s">
        <v>8</v>
      </c>
      <c r="J93" s="38" t="s">
        <v>137</v>
      </c>
    </row>
    <row r="94" spans="1:10" ht="18" x14ac:dyDescent="0.35">
      <c r="A94" s="12">
        <v>8</v>
      </c>
      <c r="B94" s="13" t="s">
        <v>28</v>
      </c>
      <c r="C94" s="7">
        <v>1</v>
      </c>
      <c r="D94" s="8">
        <v>12.1</v>
      </c>
      <c r="E94" s="8">
        <f t="shared" ref="E94:E99" si="9">C94*D94</f>
        <v>12.1</v>
      </c>
      <c r="F94" s="14">
        <f>E103</f>
        <v>17.555999999999997</v>
      </c>
      <c r="G94">
        <v>1</v>
      </c>
      <c r="H94" s="15">
        <f>F94/G94</f>
        <v>17.555999999999997</v>
      </c>
      <c r="I94" s="16">
        <v>70</v>
      </c>
      <c r="J94" s="40">
        <f t="shared" si="8"/>
        <v>25.08</v>
      </c>
    </row>
    <row r="95" spans="1:10" ht="18" x14ac:dyDescent="0.35">
      <c r="A95" s="17" t="s">
        <v>37</v>
      </c>
      <c r="B95" s="13" t="s">
        <v>22</v>
      </c>
      <c r="C95" s="7">
        <v>0.08</v>
      </c>
      <c r="D95" s="8">
        <v>42</v>
      </c>
      <c r="E95" s="8">
        <f t="shared" si="9"/>
        <v>3.36</v>
      </c>
      <c r="H95" s="8"/>
      <c r="J95" s="40"/>
    </row>
    <row r="96" spans="1:10" x14ac:dyDescent="0.35">
      <c r="A96" s="18"/>
      <c r="B96" s="13" t="s">
        <v>12</v>
      </c>
      <c r="C96" s="7">
        <v>1.2E-2</v>
      </c>
      <c r="D96" s="8">
        <v>60</v>
      </c>
      <c r="E96" s="8">
        <f t="shared" si="9"/>
        <v>0.72</v>
      </c>
      <c r="H96" s="8"/>
      <c r="J96" s="40"/>
    </row>
    <row r="97" spans="1:10" x14ac:dyDescent="0.35">
      <c r="A97" s="18"/>
      <c r="B97" s="13" t="s">
        <v>13</v>
      </c>
      <c r="C97" s="7">
        <v>8.0000000000000002E-3</v>
      </c>
      <c r="D97" s="8">
        <v>118</v>
      </c>
      <c r="E97" s="8">
        <f t="shared" si="9"/>
        <v>0.94400000000000006</v>
      </c>
      <c r="H97" s="8"/>
      <c r="J97" s="40"/>
    </row>
    <row r="98" spans="1:10" x14ac:dyDescent="0.35">
      <c r="A98" s="18"/>
      <c r="B98" s="13" t="s">
        <v>36</v>
      </c>
      <c r="C98" s="7">
        <v>8.0000000000000002E-3</v>
      </c>
      <c r="D98" s="8">
        <v>34</v>
      </c>
      <c r="E98" s="8">
        <f t="shared" si="9"/>
        <v>0.27200000000000002</v>
      </c>
      <c r="H98" s="8"/>
      <c r="J98" s="40"/>
    </row>
    <row r="99" spans="1:10" x14ac:dyDescent="0.35">
      <c r="A99" s="18"/>
      <c r="B99" s="13" t="s">
        <v>96</v>
      </c>
      <c r="C99" s="7">
        <v>2E-3</v>
      </c>
      <c r="D99" s="8">
        <v>80</v>
      </c>
      <c r="E99" s="8">
        <f t="shared" si="9"/>
        <v>0.16</v>
      </c>
      <c r="H99" s="8"/>
      <c r="J99" s="40"/>
    </row>
    <row r="100" spans="1:10" x14ac:dyDescent="0.35">
      <c r="A100" s="18"/>
      <c r="B100" s="13"/>
      <c r="C100" s="7"/>
      <c r="D100" s="8"/>
      <c r="E100" s="8"/>
      <c r="H100" s="8"/>
      <c r="J100" s="40"/>
    </row>
    <row r="101" spans="1:10" x14ac:dyDescent="0.35">
      <c r="A101" s="18"/>
      <c r="B101" s="13"/>
      <c r="C101" s="7"/>
      <c r="D101" s="8"/>
      <c r="E101" s="8"/>
      <c r="H101" s="8"/>
      <c r="J101" s="40"/>
    </row>
    <row r="102" spans="1:10" x14ac:dyDescent="0.35">
      <c r="A102" s="18"/>
      <c r="B102" s="13"/>
      <c r="C102" s="7"/>
      <c r="D102" s="8"/>
      <c r="E102" s="8"/>
      <c r="H102" s="8"/>
      <c r="J102" s="40"/>
    </row>
    <row r="103" spans="1:10" x14ac:dyDescent="0.35">
      <c r="A103" s="18"/>
      <c r="C103" s="19"/>
      <c r="D103" s="8"/>
      <c r="E103" s="20">
        <f>SUM(E94:E102)</f>
        <v>17.555999999999997</v>
      </c>
      <c r="H103" s="8"/>
      <c r="J103" s="40"/>
    </row>
    <row r="104" spans="1:10" x14ac:dyDescent="0.35">
      <c r="J104" s="40"/>
    </row>
    <row r="105" spans="1:10" x14ac:dyDescent="0.35">
      <c r="J105" s="40"/>
    </row>
    <row r="106" spans="1:10" x14ac:dyDescent="0.35">
      <c r="J106" s="40"/>
    </row>
    <row r="107" spans="1:10" ht="15.6" x14ac:dyDescent="0.3">
      <c r="A107" s="6"/>
      <c r="B107" t="s">
        <v>1</v>
      </c>
      <c r="C107" s="7" t="s">
        <v>2</v>
      </c>
      <c r="D107" s="8" t="s">
        <v>3</v>
      </c>
      <c r="E107" s="8" t="s">
        <v>4</v>
      </c>
      <c r="F107" t="s">
        <v>5</v>
      </c>
      <c r="G107" t="s">
        <v>6</v>
      </c>
      <c r="H107" s="9" t="s">
        <v>7</v>
      </c>
      <c r="I107" s="10" t="s">
        <v>8</v>
      </c>
      <c r="J107" s="38" t="s">
        <v>137</v>
      </c>
    </row>
    <row r="108" spans="1:10" ht="18" x14ac:dyDescent="0.35">
      <c r="A108" s="12">
        <v>9</v>
      </c>
      <c r="B108" s="13" t="s">
        <v>34</v>
      </c>
      <c r="C108" s="7">
        <v>3</v>
      </c>
      <c r="D108" s="8">
        <v>3.5</v>
      </c>
      <c r="E108" s="8">
        <f t="shared" ref="E108:E113" si="10">C108*D108</f>
        <v>10.5</v>
      </c>
      <c r="F108" s="14">
        <f>E117</f>
        <v>33.264000000000003</v>
      </c>
      <c r="G108">
        <v>1</v>
      </c>
      <c r="H108" s="15">
        <f>F108/G108</f>
        <v>33.264000000000003</v>
      </c>
      <c r="I108" s="16">
        <v>80</v>
      </c>
      <c r="J108" s="40">
        <f t="shared" si="8"/>
        <v>41.580000000000005</v>
      </c>
    </row>
    <row r="109" spans="1:10" ht="18" x14ac:dyDescent="0.35">
      <c r="A109" s="17" t="s">
        <v>38</v>
      </c>
      <c r="B109" s="13" t="s">
        <v>20</v>
      </c>
      <c r="C109" s="7">
        <v>0.112</v>
      </c>
      <c r="D109" s="8">
        <v>185</v>
      </c>
      <c r="E109" s="8">
        <f t="shared" si="10"/>
        <v>20.72</v>
      </c>
      <c r="H109" s="8"/>
      <c r="J109" s="40"/>
    </row>
    <row r="110" spans="1:10" x14ac:dyDescent="0.35">
      <c r="A110" s="18"/>
      <c r="B110" s="13" t="s">
        <v>12</v>
      </c>
      <c r="C110" s="7">
        <v>0.01</v>
      </c>
      <c r="D110" s="8">
        <v>60</v>
      </c>
      <c r="E110" s="8">
        <f t="shared" si="10"/>
        <v>0.6</v>
      </c>
      <c r="H110" s="8"/>
      <c r="J110" s="40"/>
    </row>
    <row r="111" spans="1:10" x14ac:dyDescent="0.35">
      <c r="A111" s="18"/>
      <c r="B111" s="13" t="s">
        <v>13</v>
      </c>
      <c r="C111" s="7">
        <v>8.0000000000000002E-3</v>
      </c>
      <c r="D111" s="8">
        <v>118</v>
      </c>
      <c r="E111" s="8">
        <f t="shared" si="10"/>
        <v>0.94400000000000006</v>
      </c>
      <c r="H111" s="8"/>
      <c r="J111" s="40"/>
    </row>
    <row r="112" spans="1:10" x14ac:dyDescent="0.35">
      <c r="A112" s="18"/>
      <c r="B112" s="13" t="s">
        <v>36</v>
      </c>
      <c r="C112" s="7">
        <v>0.01</v>
      </c>
      <c r="D112" s="8">
        <v>34</v>
      </c>
      <c r="E112" s="8">
        <f t="shared" si="10"/>
        <v>0.34</v>
      </c>
      <c r="H112" s="8"/>
      <c r="J112" s="40"/>
    </row>
    <row r="113" spans="1:10" x14ac:dyDescent="0.35">
      <c r="A113" s="18"/>
      <c r="B113" s="13" t="s">
        <v>96</v>
      </c>
      <c r="C113" s="7">
        <v>2E-3</v>
      </c>
      <c r="D113" s="8">
        <v>80</v>
      </c>
      <c r="E113" s="8">
        <f t="shared" si="10"/>
        <v>0.16</v>
      </c>
      <c r="H113" s="8"/>
      <c r="J113" s="40"/>
    </row>
    <row r="114" spans="1:10" x14ac:dyDescent="0.35">
      <c r="A114" s="18"/>
      <c r="B114" s="13"/>
      <c r="C114" s="7"/>
      <c r="D114" s="8"/>
      <c r="E114" s="8"/>
      <c r="H114" s="8"/>
      <c r="J114" s="40"/>
    </row>
    <row r="115" spans="1:10" x14ac:dyDescent="0.35">
      <c r="A115" s="18"/>
      <c r="B115" s="13"/>
      <c r="C115" s="7"/>
      <c r="D115" s="8"/>
      <c r="E115" s="8"/>
      <c r="H115" s="8"/>
      <c r="J115" s="40"/>
    </row>
    <row r="116" spans="1:10" x14ac:dyDescent="0.35">
      <c r="A116" s="18"/>
      <c r="B116" s="13"/>
      <c r="C116" s="7"/>
      <c r="D116" s="8"/>
      <c r="E116" s="8"/>
      <c r="H116" s="8"/>
      <c r="J116" s="40"/>
    </row>
    <row r="117" spans="1:10" x14ac:dyDescent="0.35">
      <c r="C117" s="19"/>
      <c r="D117" s="8"/>
      <c r="E117" s="20">
        <f>SUM(E108:E116)</f>
        <v>33.264000000000003</v>
      </c>
      <c r="H117" s="8"/>
      <c r="J117" s="40"/>
    </row>
    <row r="118" spans="1:10" x14ac:dyDescent="0.35">
      <c r="J118" s="40"/>
    </row>
    <row r="119" spans="1:10" ht="15.6" x14ac:dyDescent="0.3">
      <c r="A119" s="6"/>
      <c r="B119" t="s">
        <v>1</v>
      </c>
      <c r="C119" s="7" t="s">
        <v>2</v>
      </c>
      <c r="D119" s="8" t="s">
        <v>3</v>
      </c>
      <c r="E119" s="8" t="s">
        <v>4</v>
      </c>
      <c r="F119" t="s">
        <v>5</v>
      </c>
      <c r="G119" t="s">
        <v>6</v>
      </c>
      <c r="H119" s="9" t="s">
        <v>7</v>
      </c>
      <c r="I119" s="10" t="s">
        <v>8</v>
      </c>
      <c r="J119" s="38" t="s">
        <v>137</v>
      </c>
    </row>
    <row r="120" spans="1:10" ht="18" x14ac:dyDescent="0.35">
      <c r="A120" s="12">
        <v>10</v>
      </c>
      <c r="B120" s="13" t="s">
        <v>34</v>
      </c>
      <c r="C120" s="7">
        <v>3</v>
      </c>
      <c r="D120" s="8">
        <v>3.5</v>
      </c>
      <c r="E120" s="8">
        <f t="shared" ref="E120:E125" si="11">C120*D120</f>
        <v>10.5</v>
      </c>
      <c r="F120" s="14">
        <f>E129</f>
        <v>18.895999999999997</v>
      </c>
      <c r="G120">
        <v>1</v>
      </c>
      <c r="H120" s="15">
        <f>F120/G120</f>
        <v>18.895999999999997</v>
      </c>
      <c r="I120" s="16">
        <v>70</v>
      </c>
      <c r="J120" s="40">
        <f t="shared" si="8"/>
        <v>26.994285714285709</v>
      </c>
    </row>
    <row r="121" spans="1:10" ht="18" x14ac:dyDescent="0.35">
      <c r="A121" s="17" t="s">
        <v>39</v>
      </c>
      <c r="B121" s="13" t="s">
        <v>22</v>
      </c>
      <c r="C121" s="7">
        <v>0.15</v>
      </c>
      <c r="D121" s="8">
        <v>42</v>
      </c>
      <c r="E121" s="8">
        <f t="shared" si="11"/>
        <v>6.3</v>
      </c>
      <c r="H121" s="8"/>
      <c r="J121" s="40"/>
    </row>
    <row r="122" spans="1:10" x14ac:dyDescent="0.35">
      <c r="A122" s="18"/>
      <c r="B122" s="13" t="s">
        <v>12</v>
      </c>
      <c r="C122" s="7">
        <v>1.2E-2</v>
      </c>
      <c r="D122" s="8">
        <v>60</v>
      </c>
      <c r="E122" s="8">
        <f t="shared" si="11"/>
        <v>0.72</v>
      </c>
      <c r="H122" s="8"/>
      <c r="J122" s="40"/>
    </row>
    <row r="123" spans="1:10" x14ac:dyDescent="0.35">
      <c r="A123" s="18"/>
      <c r="B123" s="13" t="s">
        <v>13</v>
      </c>
      <c r="C123" s="7">
        <v>8.0000000000000002E-3</v>
      </c>
      <c r="D123" s="8">
        <v>118</v>
      </c>
      <c r="E123" s="8">
        <f t="shared" si="11"/>
        <v>0.94400000000000006</v>
      </c>
      <c r="H123" s="8"/>
      <c r="J123" s="40"/>
    </row>
    <row r="124" spans="1:10" x14ac:dyDescent="0.35">
      <c r="A124" s="18"/>
      <c r="B124" s="13" t="s">
        <v>36</v>
      </c>
      <c r="C124" s="7">
        <v>8.0000000000000002E-3</v>
      </c>
      <c r="D124" s="8">
        <v>34</v>
      </c>
      <c r="E124" s="8">
        <f t="shared" si="11"/>
        <v>0.27200000000000002</v>
      </c>
      <c r="H124" s="8"/>
      <c r="J124" s="40"/>
    </row>
    <row r="125" spans="1:10" x14ac:dyDescent="0.35">
      <c r="A125" s="18"/>
      <c r="B125" s="13" t="s">
        <v>96</v>
      </c>
      <c r="C125" s="7">
        <v>2E-3</v>
      </c>
      <c r="D125" s="8">
        <v>80</v>
      </c>
      <c r="E125" s="8">
        <f t="shared" si="11"/>
        <v>0.16</v>
      </c>
      <c r="H125" s="8"/>
      <c r="J125" s="40"/>
    </row>
    <row r="126" spans="1:10" x14ac:dyDescent="0.35">
      <c r="A126" s="18"/>
      <c r="B126" s="13"/>
      <c r="C126" s="7"/>
      <c r="D126" s="8"/>
      <c r="E126" s="8"/>
      <c r="H126" s="8"/>
      <c r="J126" s="40"/>
    </row>
    <row r="127" spans="1:10" x14ac:dyDescent="0.35">
      <c r="A127" s="18"/>
      <c r="B127" s="13"/>
      <c r="C127" s="7"/>
      <c r="D127" s="8"/>
      <c r="E127" s="8"/>
      <c r="H127" s="8"/>
      <c r="J127" s="40"/>
    </row>
    <row r="128" spans="1:10" x14ac:dyDescent="0.35">
      <c r="A128" s="18"/>
      <c r="B128" s="13"/>
      <c r="C128" s="7"/>
      <c r="D128" s="8"/>
      <c r="E128" s="8"/>
      <c r="H128" s="8"/>
      <c r="J128" s="40"/>
    </row>
    <row r="129" spans="1:10" x14ac:dyDescent="0.35">
      <c r="C129" s="19"/>
      <c r="D129" s="8"/>
      <c r="E129" s="20">
        <f>SUM(E120:E128)</f>
        <v>18.895999999999997</v>
      </c>
      <c r="H129" s="8"/>
      <c r="J129" s="40"/>
    </row>
    <row r="130" spans="1:10" x14ac:dyDescent="0.35">
      <c r="J130" s="40"/>
    </row>
    <row r="131" spans="1:10" x14ac:dyDescent="0.35">
      <c r="J131" s="40"/>
    </row>
    <row r="132" spans="1:10" ht="18" x14ac:dyDescent="0.3">
      <c r="A132" s="12">
        <v>11</v>
      </c>
      <c r="B132" t="s">
        <v>1</v>
      </c>
      <c r="C132" s="7" t="s">
        <v>2</v>
      </c>
      <c r="D132" s="8" t="s">
        <v>3</v>
      </c>
      <c r="E132" s="8" t="s">
        <v>4</v>
      </c>
      <c r="F132" t="s">
        <v>5</v>
      </c>
      <c r="G132" t="s">
        <v>6</v>
      </c>
      <c r="H132" s="9" t="s">
        <v>7</v>
      </c>
      <c r="I132" s="10" t="s">
        <v>8</v>
      </c>
      <c r="J132" s="38" t="s">
        <v>137</v>
      </c>
    </row>
    <row r="133" spans="1:10" ht="18" x14ac:dyDescent="0.35">
      <c r="A133" s="17" t="s">
        <v>40</v>
      </c>
      <c r="B133" s="13" t="s">
        <v>28</v>
      </c>
      <c r="C133" s="7">
        <v>1</v>
      </c>
      <c r="D133" s="8">
        <v>12.1</v>
      </c>
      <c r="E133" s="8">
        <f t="shared" ref="E133:E135" si="12">C133*D133</f>
        <v>12.1</v>
      </c>
      <c r="F133" s="14">
        <f>E139</f>
        <v>37.61</v>
      </c>
      <c r="G133">
        <v>1</v>
      </c>
      <c r="H133" s="15">
        <f>F133/G133</f>
        <v>37.61</v>
      </c>
      <c r="I133" s="16">
        <v>80</v>
      </c>
      <c r="J133" s="40">
        <f t="shared" ref="J133:J187" si="13">H133/I133*100</f>
        <v>47.012500000000003</v>
      </c>
    </row>
    <row r="134" spans="1:10" x14ac:dyDescent="0.35">
      <c r="B134" s="13" t="s">
        <v>41</v>
      </c>
      <c r="C134" s="7">
        <v>0.13</v>
      </c>
      <c r="D134" s="8">
        <v>195</v>
      </c>
      <c r="E134" s="8">
        <f t="shared" si="12"/>
        <v>25.35</v>
      </c>
      <c r="H134" s="8"/>
      <c r="J134" s="40"/>
    </row>
    <row r="135" spans="1:10" x14ac:dyDescent="0.35">
      <c r="A135" s="18"/>
      <c r="B135" s="13" t="s">
        <v>30</v>
      </c>
      <c r="C135" s="7">
        <v>2E-3</v>
      </c>
      <c r="D135" s="8">
        <v>80</v>
      </c>
      <c r="E135" s="8">
        <f t="shared" si="12"/>
        <v>0.16</v>
      </c>
      <c r="H135" s="8"/>
      <c r="J135" s="40"/>
    </row>
    <row r="136" spans="1:10" x14ac:dyDescent="0.35">
      <c r="A136" s="18"/>
      <c r="B136" s="13"/>
      <c r="C136" s="7"/>
      <c r="D136" s="8"/>
      <c r="E136" s="8"/>
      <c r="H136" s="8"/>
      <c r="J136" s="40"/>
    </row>
    <row r="137" spans="1:10" x14ac:dyDescent="0.35">
      <c r="A137" s="18"/>
      <c r="B137" s="13"/>
      <c r="C137" s="7"/>
      <c r="D137" s="8"/>
      <c r="E137" s="8"/>
      <c r="H137" s="8"/>
      <c r="J137" s="40"/>
    </row>
    <row r="138" spans="1:10" x14ac:dyDescent="0.35">
      <c r="A138" s="18"/>
      <c r="B138" s="13"/>
      <c r="C138" s="7"/>
      <c r="D138" s="8"/>
      <c r="E138" s="8"/>
      <c r="H138" s="8"/>
      <c r="J138" s="40"/>
    </row>
    <row r="139" spans="1:10" x14ac:dyDescent="0.35">
      <c r="A139" s="18"/>
      <c r="C139" s="19"/>
      <c r="D139" s="8"/>
      <c r="E139" s="20">
        <f>SUM(E133:E138)</f>
        <v>37.61</v>
      </c>
      <c r="H139" s="8"/>
      <c r="J139" s="40"/>
    </row>
    <row r="140" spans="1:10" x14ac:dyDescent="0.35">
      <c r="J140" s="40"/>
    </row>
    <row r="141" spans="1:10" x14ac:dyDescent="0.35">
      <c r="J141" s="40"/>
    </row>
    <row r="142" spans="1:10" ht="18" x14ac:dyDescent="0.3">
      <c r="A142" s="12">
        <v>12</v>
      </c>
      <c r="B142" t="s">
        <v>1</v>
      </c>
      <c r="C142" s="7" t="s">
        <v>2</v>
      </c>
      <c r="D142" s="8" t="s">
        <v>3</v>
      </c>
      <c r="E142" s="8" t="s">
        <v>4</v>
      </c>
      <c r="F142" t="s">
        <v>5</v>
      </c>
      <c r="G142" t="s">
        <v>6</v>
      </c>
      <c r="H142" s="9" t="s">
        <v>7</v>
      </c>
      <c r="I142" s="10" t="s">
        <v>8</v>
      </c>
      <c r="J142" s="38" t="s">
        <v>137</v>
      </c>
    </row>
    <row r="143" spans="1:10" ht="18" x14ac:dyDescent="0.35">
      <c r="A143" s="17" t="s">
        <v>42</v>
      </c>
      <c r="B143" s="13" t="s">
        <v>34</v>
      </c>
      <c r="C143" s="7">
        <v>3</v>
      </c>
      <c r="D143" s="8">
        <v>3.5</v>
      </c>
      <c r="E143" s="8">
        <f t="shared" ref="E143:E145" si="14">C143*D143</f>
        <v>10.5</v>
      </c>
      <c r="F143" s="14">
        <f>E149</f>
        <v>36.01</v>
      </c>
      <c r="G143">
        <v>1</v>
      </c>
      <c r="H143" s="15">
        <f>F143/G143</f>
        <v>36.01</v>
      </c>
      <c r="I143" s="16">
        <v>80</v>
      </c>
      <c r="J143" s="40">
        <f t="shared" si="13"/>
        <v>45.012500000000003</v>
      </c>
    </row>
    <row r="144" spans="1:10" x14ac:dyDescent="0.35">
      <c r="B144" s="13" t="s">
        <v>41</v>
      </c>
      <c r="C144" s="7">
        <v>0.13</v>
      </c>
      <c r="D144" s="8">
        <v>195</v>
      </c>
      <c r="E144" s="8">
        <f t="shared" si="14"/>
        <v>25.35</v>
      </c>
      <c r="H144" s="8"/>
      <c r="J144" s="40"/>
    </row>
    <row r="145" spans="1:10" x14ac:dyDescent="0.35">
      <c r="A145" s="18"/>
      <c r="B145" s="13" t="s">
        <v>30</v>
      </c>
      <c r="C145" s="7">
        <v>2E-3</v>
      </c>
      <c r="D145" s="8">
        <v>80</v>
      </c>
      <c r="E145" s="8">
        <f t="shared" si="14"/>
        <v>0.16</v>
      </c>
      <c r="H145" s="8"/>
      <c r="J145" s="40"/>
    </row>
    <row r="146" spans="1:10" x14ac:dyDescent="0.35">
      <c r="A146" s="18"/>
      <c r="B146" s="13"/>
      <c r="C146" s="7"/>
      <c r="D146" s="8"/>
      <c r="E146" s="8"/>
      <c r="H146" s="8"/>
      <c r="J146" s="40"/>
    </row>
    <row r="147" spans="1:10" x14ac:dyDescent="0.35">
      <c r="A147" s="18"/>
      <c r="B147" s="13"/>
      <c r="C147" s="7"/>
      <c r="D147" s="8"/>
      <c r="E147" s="8"/>
      <c r="H147" s="8"/>
      <c r="J147" s="40"/>
    </row>
    <row r="148" spans="1:10" x14ac:dyDescent="0.35">
      <c r="A148" s="18"/>
      <c r="B148" s="13"/>
      <c r="C148" s="7"/>
      <c r="D148" s="8"/>
      <c r="E148" s="8"/>
      <c r="H148" s="8"/>
      <c r="J148" s="40"/>
    </row>
    <row r="149" spans="1:10" x14ac:dyDescent="0.35">
      <c r="A149" s="18"/>
      <c r="C149" s="19"/>
      <c r="D149" s="8"/>
      <c r="E149" s="20">
        <f>SUM(E143:E148)</f>
        <v>36.01</v>
      </c>
      <c r="H149" s="8"/>
      <c r="J149" s="40"/>
    </row>
    <row r="150" spans="1:10" x14ac:dyDescent="0.35">
      <c r="J150" s="40"/>
    </row>
    <row r="151" spans="1:10" ht="18" x14ac:dyDescent="0.35">
      <c r="A151" s="21" t="s">
        <v>43</v>
      </c>
      <c r="B151" s="22" t="s">
        <v>44</v>
      </c>
      <c r="C151" s="23"/>
      <c r="D151" s="23"/>
      <c r="E151" s="23"/>
      <c r="F151" s="23"/>
      <c r="G151" s="23"/>
      <c r="H151" s="23"/>
      <c r="I151" s="24"/>
      <c r="J151" s="40"/>
    </row>
    <row r="152" spans="1:10" ht="15.6" x14ac:dyDescent="0.3">
      <c r="A152" s="6"/>
      <c r="B152" t="s">
        <v>1</v>
      </c>
      <c r="C152" s="7" t="s">
        <v>2</v>
      </c>
      <c r="D152" s="8" t="s">
        <v>3</v>
      </c>
      <c r="E152" s="8" t="s">
        <v>4</v>
      </c>
      <c r="F152" t="s">
        <v>5</v>
      </c>
      <c r="G152" t="s">
        <v>6</v>
      </c>
      <c r="H152" s="9" t="s">
        <v>7</v>
      </c>
      <c r="I152" s="10" t="s">
        <v>8</v>
      </c>
      <c r="J152" s="38" t="s">
        <v>137</v>
      </c>
    </row>
    <row r="153" spans="1:10" ht="18" x14ac:dyDescent="0.35">
      <c r="A153" s="12">
        <v>13</v>
      </c>
      <c r="B153" s="13" t="s">
        <v>45</v>
      </c>
      <c r="C153" s="7">
        <v>1</v>
      </c>
      <c r="D153" s="8">
        <v>4</v>
      </c>
      <c r="E153" s="8">
        <f t="shared" ref="E153:E156" si="15">C153*D153</f>
        <v>4</v>
      </c>
      <c r="F153" s="14">
        <f>E160</f>
        <v>29.006</v>
      </c>
      <c r="G153">
        <v>1</v>
      </c>
      <c r="H153" s="15">
        <f>F153/G153</f>
        <v>29.006</v>
      </c>
      <c r="I153" s="16">
        <v>100</v>
      </c>
      <c r="J153" s="40">
        <f t="shared" si="13"/>
        <v>29.006</v>
      </c>
    </row>
    <row r="154" spans="1:10" ht="18" x14ac:dyDescent="0.35">
      <c r="A154" s="17" t="s">
        <v>46</v>
      </c>
      <c r="B154" s="13" t="s">
        <v>20</v>
      </c>
      <c r="C154" s="7">
        <v>0.12</v>
      </c>
      <c r="D154" s="8">
        <v>195</v>
      </c>
      <c r="E154" s="8">
        <f t="shared" si="15"/>
        <v>23.4</v>
      </c>
      <c r="H154" s="8"/>
      <c r="J154" s="40"/>
    </row>
    <row r="155" spans="1:10" x14ac:dyDescent="0.35">
      <c r="A155" s="18"/>
      <c r="B155" s="13" t="s">
        <v>12</v>
      </c>
      <c r="C155" s="7">
        <v>1.2999999999999999E-2</v>
      </c>
      <c r="D155" s="8">
        <v>60</v>
      </c>
      <c r="E155" s="8">
        <f t="shared" si="15"/>
        <v>0.77999999999999992</v>
      </c>
      <c r="H155" s="8"/>
      <c r="J155" s="40"/>
    </row>
    <row r="156" spans="1:10" x14ac:dyDescent="0.35">
      <c r="A156" s="18"/>
      <c r="B156" s="13" t="s">
        <v>13</v>
      </c>
      <c r="C156" s="7">
        <v>7.0000000000000001E-3</v>
      </c>
      <c r="D156" s="8">
        <v>118</v>
      </c>
      <c r="E156" s="8">
        <f t="shared" si="15"/>
        <v>0.82600000000000007</v>
      </c>
      <c r="H156" s="8"/>
      <c r="J156" s="40"/>
    </row>
    <row r="157" spans="1:10" x14ac:dyDescent="0.35">
      <c r="A157" s="18"/>
      <c r="B157" s="13"/>
      <c r="C157" s="7"/>
      <c r="D157" s="8"/>
      <c r="E157" s="8"/>
      <c r="H157" s="8"/>
      <c r="J157" s="40"/>
    </row>
    <row r="158" spans="1:10" x14ac:dyDescent="0.35">
      <c r="A158" s="18"/>
      <c r="B158" s="13"/>
      <c r="C158" s="7"/>
      <c r="D158" s="8"/>
      <c r="E158" s="8"/>
      <c r="H158" s="8"/>
      <c r="J158" s="40"/>
    </row>
    <row r="159" spans="1:10" x14ac:dyDescent="0.35">
      <c r="A159" s="18"/>
      <c r="B159" s="13"/>
      <c r="C159" s="7"/>
      <c r="D159" s="8"/>
      <c r="E159" s="8"/>
      <c r="H159" s="8"/>
      <c r="J159" s="40"/>
    </row>
    <row r="160" spans="1:10" x14ac:dyDescent="0.35">
      <c r="A160" s="18"/>
      <c r="C160" s="19"/>
      <c r="D160" s="8"/>
      <c r="E160" s="20">
        <f>SUM(E153:E159)</f>
        <v>29.006</v>
      </c>
      <c r="H160" s="8"/>
      <c r="J160" s="40"/>
    </row>
    <row r="161" spans="1:10" x14ac:dyDescent="0.35">
      <c r="J161" s="40"/>
    </row>
    <row r="162" spans="1:10" x14ac:dyDescent="0.35">
      <c r="J162" s="40"/>
    </row>
    <row r="163" spans="1:10" ht="18" x14ac:dyDescent="0.35">
      <c r="A163" s="21" t="s">
        <v>43</v>
      </c>
      <c r="J163" s="40"/>
    </row>
    <row r="164" spans="1:10" ht="15.6" x14ac:dyDescent="0.3">
      <c r="A164" s="6"/>
      <c r="B164" t="s">
        <v>1</v>
      </c>
      <c r="C164" s="7" t="s">
        <v>2</v>
      </c>
      <c r="D164" s="8" t="s">
        <v>3</v>
      </c>
      <c r="E164" s="8" t="s">
        <v>4</v>
      </c>
      <c r="F164" t="s">
        <v>5</v>
      </c>
      <c r="G164" t="s">
        <v>6</v>
      </c>
      <c r="H164" s="9" t="s">
        <v>7</v>
      </c>
      <c r="I164" s="10" t="s">
        <v>8</v>
      </c>
      <c r="J164" s="38" t="s">
        <v>137</v>
      </c>
    </row>
    <row r="165" spans="1:10" ht="18" x14ac:dyDescent="0.35">
      <c r="A165" s="12">
        <v>14</v>
      </c>
      <c r="B165" s="13" t="s">
        <v>45</v>
      </c>
      <c r="C165" s="7">
        <v>1</v>
      </c>
      <c r="D165" s="8">
        <v>4</v>
      </c>
      <c r="E165" s="8">
        <f t="shared" ref="E165:E168" si="16">C165*D165</f>
        <v>4</v>
      </c>
      <c r="F165" s="14">
        <f>E172</f>
        <v>10.49</v>
      </c>
      <c r="G165">
        <v>1</v>
      </c>
      <c r="H165" s="15">
        <f>F165/G165</f>
        <v>10.49</v>
      </c>
      <c r="I165" s="16">
        <v>90</v>
      </c>
      <c r="J165" s="40">
        <f t="shared" si="13"/>
        <v>11.655555555555555</v>
      </c>
    </row>
    <row r="166" spans="1:10" ht="18" x14ac:dyDescent="0.35">
      <c r="A166" s="17" t="s">
        <v>47</v>
      </c>
      <c r="B166" s="13" t="s">
        <v>22</v>
      </c>
      <c r="C166" s="7">
        <v>0.105</v>
      </c>
      <c r="D166" s="8">
        <v>42</v>
      </c>
      <c r="E166" s="8">
        <f t="shared" si="16"/>
        <v>4.41</v>
      </c>
      <c r="H166" s="8"/>
      <c r="J166" s="40"/>
    </row>
    <row r="167" spans="1:10" x14ac:dyDescent="0.35">
      <c r="A167" s="18"/>
      <c r="B167" s="13" t="s">
        <v>12</v>
      </c>
      <c r="C167" s="7">
        <v>1.4999999999999999E-2</v>
      </c>
      <c r="D167" s="8">
        <v>60</v>
      </c>
      <c r="E167" s="8">
        <f t="shared" si="16"/>
        <v>0.89999999999999991</v>
      </c>
      <c r="H167" s="8"/>
      <c r="J167" s="40"/>
    </row>
    <row r="168" spans="1:10" x14ac:dyDescent="0.35">
      <c r="A168" s="18"/>
      <c r="B168" s="13" t="s">
        <v>13</v>
      </c>
      <c r="C168" s="7">
        <v>0.01</v>
      </c>
      <c r="D168" s="8">
        <v>118</v>
      </c>
      <c r="E168" s="8">
        <f t="shared" si="16"/>
        <v>1.18</v>
      </c>
      <c r="H168" s="8"/>
      <c r="J168" s="40"/>
    </row>
    <row r="169" spans="1:10" x14ac:dyDescent="0.35">
      <c r="A169" s="18"/>
      <c r="B169" s="13"/>
      <c r="C169" s="7"/>
      <c r="D169" s="8"/>
      <c r="E169" s="8"/>
      <c r="H169" s="8"/>
      <c r="J169" s="40"/>
    </row>
    <row r="170" spans="1:10" x14ac:dyDescent="0.35">
      <c r="A170" s="18"/>
      <c r="B170" s="13"/>
      <c r="C170" s="7"/>
      <c r="D170" s="8"/>
      <c r="E170" s="8"/>
      <c r="H170" s="8"/>
      <c r="J170" s="40"/>
    </row>
    <row r="171" spans="1:10" x14ac:dyDescent="0.35">
      <c r="A171" s="18"/>
      <c r="B171" s="13"/>
      <c r="C171" s="7"/>
      <c r="D171" s="8"/>
      <c r="E171" s="8"/>
      <c r="H171" s="8"/>
      <c r="J171" s="40"/>
    </row>
    <row r="172" spans="1:10" x14ac:dyDescent="0.35">
      <c r="A172" s="18"/>
      <c r="C172" s="19"/>
      <c r="D172" s="8"/>
      <c r="E172" s="20">
        <f>SUM(E165:E171)</f>
        <v>10.49</v>
      </c>
      <c r="H172" s="8"/>
      <c r="J172" s="40"/>
    </row>
    <row r="173" spans="1:10" ht="18" x14ac:dyDescent="0.35">
      <c r="A173" s="21" t="s">
        <v>43</v>
      </c>
      <c r="J173" s="40"/>
    </row>
    <row r="174" spans="1:10" ht="15.6" x14ac:dyDescent="0.3">
      <c r="A174" s="6"/>
      <c r="B174" t="s">
        <v>1</v>
      </c>
      <c r="C174" s="7" t="s">
        <v>2</v>
      </c>
      <c r="D174" s="8" t="s">
        <v>3</v>
      </c>
      <c r="E174" s="8" t="s">
        <v>4</v>
      </c>
      <c r="F174" t="s">
        <v>5</v>
      </c>
      <c r="G174" t="s">
        <v>6</v>
      </c>
      <c r="H174" s="9" t="s">
        <v>7</v>
      </c>
      <c r="I174" s="10" t="s">
        <v>8</v>
      </c>
      <c r="J174" s="38" t="s">
        <v>137</v>
      </c>
    </row>
    <row r="175" spans="1:10" ht="18" x14ac:dyDescent="0.35">
      <c r="A175" s="12">
        <v>15</v>
      </c>
      <c r="B175" s="13" t="s">
        <v>34</v>
      </c>
      <c r="C175" s="7">
        <v>3</v>
      </c>
      <c r="D175" s="8">
        <v>3.5</v>
      </c>
      <c r="E175" s="8">
        <f t="shared" ref="E175:E179" si="17">C175*D175</f>
        <v>10.5</v>
      </c>
      <c r="F175" s="14">
        <f>E183</f>
        <v>17.394000000000002</v>
      </c>
      <c r="G175">
        <v>1</v>
      </c>
      <c r="H175" s="15">
        <f>F175/G175</f>
        <v>17.394000000000002</v>
      </c>
      <c r="I175" s="16">
        <v>60</v>
      </c>
      <c r="J175" s="40">
        <f t="shared" si="13"/>
        <v>28.990000000000006</v>
      </c>
    </row>
    <row r="176" spans="1:10" ht="18" x14ac:dyDescent="0.35">
      <c r="A176" s="17" t="s">
        <v>33</v>
      </c>
      <c r="B176" s="13" t="s">
        <v>11</v>
      </c>
      <c r="C176" s="7">
        <v>0.05</v>
      </c>
      <c r="D176" s="8">
        <v>85</v>
      </c>
      <c r="E176" s="8">
        <f t="shared" si="17"/>
        <v>4.25</v>
      </c>
      <c r="H176" s="8"/>
      <c r="J176" s="40"/>
    </row>
    <row r="177" spans="1:10" x14ac:dyDescent="0.35">
      <c r="A177" s="18"/>
      <c r="B177" s="13" t="s">
        <v>12</v>
      </c>
      <c r="C177" s="7">
        <v>0.01</v>
      </c>
      <c r="D177" s="8">
        <v>60</v>
      </c>
      <c r="E177" s="8">
        <f t="shared" si="17"/>
        <v>0.6</v>
      </c>
      <c r="H177" s="8"/>
      <c r="J177" s="40"/>
    </row>
    <row r="178" spans="1:10" x14ac:dyDescent="0.35">
      <c r="A178" s="18"/>
      <c r="B178" s="13" t="s">
        <v>13</v>
      </c>
      <c r="C178" s="7">
        <v>8.0000000000000002E-3</v>
      </c>
      <c r="D178" s="8">
        <v>118</v>
      </c>
      <c r="E178" s="8">
        <f t="shared" si="17"/>
        <v>0.94400000000000006</v>
      </c>
      <c r="H178" s="8"/>
      <c r="J178" s="40"/>
    </row>
    <row r="179" spans="1:10" x14ac:dyDescent="0.35">
      <c r="A179" s="18"/>
      <c r="B179" s="13" t="s">
        <v>31</v>
      </c>
      <c r="C179" s="7">
        <v>5.0000000000000001E-3</v>
      </c>
      <c r="D179" s="8">
        <v>220</v>
      </c>
      <c r="E179" s="8">
        <f t="shared" si="17"/>
        <v>1.1000000000000001</v>
      </c>
      <c r="H179" s="8"/>
      <c r="J179" s="40"/>
    </row>
    <row r="180" spans="1:10" x14ac:dyDescent="0.35">
      <c r="A180" s="18"/>
      <c r="B180" s="13"/>
      <c r="C180" s="7"/>
      <c r="D180" s="8"/>
      <c r="E180" s="8"/>
      <c r="H180" s="8"/>
      <c r="J180" s="40"/>
    </row>
    <row r="181" spans="1:10" x14ac:dyDescent="0.35">
      <c r="A181" s="18"/>
      <c r="B181" s="13"/>
      <c r="C181" s="7"/>
      <c r="D181" s="8"/>
      <c r="E181" s="8"/>
      <c r="H181" s="8"/>
      <c r="J181" s="40"/>
    </row>
    <row r="182" spans="1:10" x14ac:dyDescent="0.35">
      <c r="A182" s="18"/>
      <c r="B182" s="13"/>
      <c r="C182" s="7"/>
      <c r="D182" s="8"/>
      <c r="E182" s="8"/>
      <c r="H182" s="8"/>
      <c r="J182" s="40"/>
    </row>
    <row r="183" spans="1:10" x14ac:dyDescent="0.35">
      <c r="C183" s="19"/>
      <c r="D183" s="8"/>
      <c r="E183" s="20">
        <f>SUM(E175:E182)</f>
        <v>17.394000000000002</v>
      </c>
      <c r="H183" s="8"/>
      <c r="J183" s="40"/>
    </row>
    <row r="184" spans="1:10" x14ac:dyDescent="0.35">
      <c r="C184" s="25"/>
      <c r="D184" s="8"/>
      <c r="E184" s="8"/>
      <c r="H184" s="8"/>
      <c r="J184" s="40"/>
    </row>
    <row r="185" spans="1:10" ht="18" x14ac:dyDescent="0.35">
      <c r="A185" s="21" t="s">
        <v>43</v>
      </c>
      <c r="C185" s="25"/>
      <c r="D185" s="8"/>
      <c r="E185" s="8"/>
      <c r="H185" s="8"/>
      <c r="J185" s="40"/>
    </row>
    <row r="186" spans="1:10" ht="15.6" x14ac:dyDescent="0.3">
      <c r="A186" s="6"/>
      <c r="B186" t="s">
        <v>1</v>
      </c>
      <c r="C186" s="7" t="s">
        <v>2</v>
      </c>
      <c r="D186" s="8" t="s">
        <v>3</v>
      </c>
      <c r="E186" s="8" t="s">
        <v>4</v>
      </c>
      <c r="F186" t="s">
        <v>5</v>
      </c>
      <c r="G186" t="s">
        <v>6</v>
      </c>
      <c r="H186" s="9" t="s">
        <v>7</v>
      </c>
      <c r="I186" s="10" t="s">
        <v>8</v>
      </c>
      <c r="J186" s="38" t="s">
        <v>137</v>
      </c>
    </row>
    <row r="187" spans="1:10" ht="18" x14ac:dyDescent="0.35">
      <c r="A187" s="12">
        <v>16</v>
      </c>
      <c r="B187" s="13" t="s">
        <v>34</v>
      </c>
      <c r="C187" s="7">
        <v>3</v>
      </c>
      <c r="D187" s="8">
        <v>3.5</v>
      </c>
      <c r="E187" s="8">
        <f t="shared" ref="E187:E190" si="18">C187*D187</f>
        <v>10.5</v>
      </c>
      <c r="F187" s="14">
        <f>E194</f>
        <v>32.764000000000003</v>
      </c>
      <c r="G187">
        <v>1</v>
      </c>
      <c r="H187" s="15">
        <f>F187/G187</f>
        <v>32.764000000000003</v>
      </c>
      <c r="I187" s="16">
        <v>80</v>
      </c>
      <c r="J187" s="40">
        <f t="shared" si="13"/>
        <v>40.955000000000005</v>
      </c>
    </row>
    <row r="188" spans="1:10" ht="18" x14ac:dyDescent="0.35">
      <c r="A188" s="17" t="s">
        <v>38</v>
      </c>
      <c r="B188" s="13" t="s">
        <v>20</v>
      </c>
      <c r="C188" s="7">
        <v>0.112</v>
      </c>
      <c r="D188" s="8">
        <v>185</v>
      </c>
      <c r="E188" s="8">
        <f t="shared" si="18"/>
        <v>20.72</v>
      </c>
      <c r="H188" s="8"/>
      <c r="J188" s="40"/>
    </row>
    <row r="189" spans="1:10" x14ac:dyDescent="0.35">
      <c r="A189" s="18"/>
      <c r="B189" s="13" t="s">
        <v>12</v>
      </c>
      <c r="C189" s="7">
        <v>0.01</v>
      </c>
      <c r="D189" s="8">
        <v>60</v>
      </c>
      <c r="E189" s="8">
        <f t="shared" si="18"/>
        <v>0.6</v>
      </c>
      <c r="H189" s="8"/>
      <c r="J189" s="40"/>
    </row>
    <row r="190" spans="1:10" x14ac:dyDescent="0.35">
      <c r="A190" s="18"/>
      <c r="B190" s="13" t="s">
        <v>13</v>
      </c>
      <c r="C190" s="7">
        <v>8.0000000000000002E-3</v>
      </c>
      <c r="D190" s="8">
        <v>118</v>
      </c>
      <c r="E190" s="8">
        <f t="shared" si="18"/>
        <v>0.94400000000000006</v>
      </c>
      <c r="H190" s="8"/>
      <c r="J190" s="40"/>
    </row>
    <row r="191" spans="1:10" x14ac:dyDescent="0.35">
      <c r="A191" s="18"/>
      <c r="B191" s="13"/>
      <c r="C191" s="7"/>
      <c r="D191" s="8"/>
      <c r="E191" s="8"/>
      <c r="H191" s="8"/>
      <c r="J191" s="40"/>
    </row>
    <row r="192" spans="1:10" x14ac:dyDescent="0.35">
      <c r="A192" s="18"/>
      <c r="B192" s="13"/>
      <c r="C192" s="7"/>
      <c r="D192" s="8"/>
      <c r="E192" s="8"/>
      <c r="H192" s="8"/>
      <c r="J192" s="40"/>
    </row>
    <row r="193" spans="1:10" x14ac:dyDescent="0.35">
      <c r="A193" s="18"/>
      <c r="B193" s="13"/>
      <c r="C193" s="7"/>
      <c r="D193" s="8"/>
      <c r="E193" s="8"/>
      <c r="H193" s="8"/>
      <c r="J193" s="40"/>
    </row>
    <row r="194" spans="1:10" x14ac:dyDescent="0.35">
      <c r="C194" s="19"/>
      <c r="D194" s="8"/>
      <c r="E194" s="20">
        <f>SUM(E187:E193)</f>
        <v>32.764000000000003</v>
      </c>
      <c r="H194" s="8"/>
      <c r="J194" s="40"/>
    </row>
    <row r="195" spans="1:10" x14ac:dyDescent="0.35">
      <c r="C195" s="25"/>
      <c r="D195" s="8"/>
      <c r="E195" s="8"/>
      <c r="H195" s="8"/>
      <c r="J195" s="40"/>
    </row>
    <row r="196" spans="1:10" ht="18" x14ac:dyDescent="0.35">
      <c r="A196" s="21" t="s">
        <v>43</v>
      </c>
      <c r="C196" s="25"/>
      <c r="D196" s="8"/>
      <c r="E196" s="8"/>
      <c r="H196" s="8"/>
      <c r="J196" s="40"/>
    </row>
    <row r="197" spans="1:10" ht="18" x14ac:dyDescent="0.3">
      <c r="A197" s="12">
        <v>17</v>
      </c>
      <c r="B197" t="s">
        <v>1</v>
      </c>
      <c r="C197" s="7" t="s">
        <v>2</v>
      </c>
      <c r="D197" s="8" t="s">
        <v>3</v>
      </c>
      <c r="E197" s="8" t="s">
        <v>4</v>
      </c>
      <c r="F197" t="s">
        <v>5</v>
      </c>
      <c r="G197" t="s">
        <v>6</v>
      </c>
      <c r="H197" s="9" t="s">
        <v>7</v>
      </c>
      <c r="I197" s="10" t="s">
        <v>8</v>
      </c>
      <c r="J197" s="38" t="s">
        <v>137</v>
      </c>
    </row>
    <row r="198" spans="1:10" ht="18" x14ac:dyDescent="0.35">
      <c r="A198" s="17" t="s">
        <v>39</v>
      </c>
      <c r="B198" s="13" t="s">
        <v>34</v>
      </c>
      <c r="C198" s="7">
        <v>3</v>
      </c>
      <c r="D198" s="8">
        <v>3.5</v>
      </c>
      <c r="E198" s="8">
        <f>C198*D198</f>
        <v>10.5</v>
      </c>
      <c r="G198">
        <v>1</v>
      </c>
      <c r="H198" s="9">
        <f>E205</f>
        <v>18.463999999999999</v>
      </c>
      <c r="I198" s="16">
        <v>70</v>
      </c>
      <c r="J198" s="40">
        <f t="shared" ref="J198:J253" si="19">H198/I198*100</f>
        <v>26.377142857142854</v>
      </c>
    </row>
    <row r="199" spans="1:10" x14ac:dyDescent="0.35">
      <c r="B199" s="13" t="s">
        <v>22</v>
      </c>
      <c r="C199" s="7">
        <v>0.15</v>
      </c>
      <c r="D199" s="8">
        <v>42</v>
      </c>
      <c r="E199" s="8">
        <f t="shared" ref="E199:E201" si="20">C199*D199</f>
        <v>6.3</v>
      </c>
      <c r="H199" s="8"/>
      <c r="J199" s="40"/>
    </row>
    <row r="200" spans="1:10" x14ac:dyDescent="0.35">
      <c r="A200" s="18"/>
      <c r="B200" s="13" t="s">
        <v>12</v>
      </c>
      <c r="C200" s="7">
        <v>1.2E-2</v>
      </c>
      <c r="D200" s="8">
        <v>60</v>
      </c>
      <c r="E200" s="8">
        <f t="shared" si="20"/>
        <v>0.72</v>
      </c>
      <c r="H200" s="8"/>
      <c r="J200" s="40"/>
    </row>
    <row r="201" spans="1:10" x14ac:dyDescent="0.35">
      <c r="A201" s="18"/>
      <c r="B201" s="13" t="s">
        <v>13</v>
      </c>
      <c r="C201" s="7">
        <v>8.0000000000000002E-3</v>
      </c>
      <c r="D201" s="8">
        <v>118</v>
      </c>
      <c r="E201" s="8">
        <f t="shared" si="20"/>
        <v>0.94400000000000006</v>
      </c>
      <c r="H201" s="8"/>
      <c r="J201" s="40"/>
    </row>
    <row r="202" spans="1:10" x14ac:dyDescent="0.35">
      <c r="A202" s="18"/>
      <c r="B202" s="13"/>
      <c r="C202" s="7"/>
      <c r="D202" s="8"/>
      <c r="E202" s="8"/>
      <c r="H202" s="8"/>
      <c r="J202" s="40"/>
    </row>
    <row r="203" spans="1:10" x14ac:dyDescent="0.35">
      <c r="A203" s="18"/>
      <c r="B203" s="13"/>
      <c r="C203" s="7"/>
      <c r="D203" s="8"/>
      <c r="E203" s="8"/>
      <c r="H203" s="8"/>
      <c r="J203" s="40"/>
    </row>
    <row r="204" spans="1:10" x14ac:dyDescent="0.35">
      <c r="A204" s="18"/>
      <c r="B204" s="13"/>
      <c r="C204" s="7"/>
      <c r="D204" s="8"/>
      <c r="E204" s="8"/>
      <c r="H204" s="8"/>
      <c r="J204" s="40"/>
    </row>
    <row r="205" spans="1:10" x14ac:dyDescent="0.35">
      <c r="C205" s="19"/>
      <c r="D205" s="8"/>
      <c r="E205" s="20">
        <f>SUM(E197:E204)</f>
        <v>18.463999999999999</v>
      </c>
      <c r="H205" s="8"/>
      <c r="J205" s="40"/>
    </row>
    <row r="206" spans="1:10" x14ac:dyDescent="0.35">
      <c r="C206" s="25"/>
      <c r="D206" s="8"/>
      <c r="E206" s="8"/>
      <c r="H206" s="8"/>
      <c r="J206" s="40"/>
    </row>
    <row r="207" spans="1:10" ht="18" x14ac:dyDescent="0.35">
      <c r="A207" s="21" t="s">
        <v>43</v>
      </c>
      <c r="J207" s="40"/>
    </row>
    <row r="208" spans="1:10" ht="18" x14ac:dyDescent="0.3">
      <c r="A208" s="12">
        <v>18</v>
      </c>
      <c r="B208" t="s">
        <v>1</v>
      </c>
      <c r="C208" s="7" t="s">
        <v>2</v>
      </c>
      <c r="D208" s="8" t="s">
        <v>3</v>
      </c>
      <c r="E208" s="8" t="s">
        <v>4</v>
      </c>
      <c r="F208" t="s">
        <v>5</v>
      </c>
      <c r="G208" t="s">
        <v>6</v>
      </c>
      <c r="H208" s="9" t="s">
        <v>7</v>
      </c>
      <c r="I208" s="10" t="s">
        <v>8</v>
      </c>
      <c r="J208" s="38" t="s">
        <v>137</v>
      </c>
    </row>
    <row r="209" spans="1:10" ht="18" x14ac:dyDescent="0.35">
      <c r="A209" s="17" t="s">
        <v>42</v>
      </c>
      <c r="B209" s="13" t="s">
        <v>34</v>
      </c>
      <c r="C209" s="7">
        <v>3</v>
      </c>
      <c r="D209" s="8">
        <v>3.5</v>
      </c>
      <c r="E209" s="8">
        <f>C209*D209</f>
        <v>10.5</v>
      </c>
      <c r="G209">
        <v>1</v>
      </c>
      <c r="H209" s="9">
        <f>E214</f>
        <v>35.85</v>
      </c>
      <c r="I209" s="16">
        <v>80</v>
      </c>
      <c r="J209" s="40">
        <f t="shared" si="19"/>
        <v>44.8125</v>
      </c>
    </row>
    <row r="210" spans="1:10" x14ac:dyDescent="0.35">
      <c r="B210" s="13" t="s">
        <v>41</v>
      </c>
      <c r="C210" s="7">
        <v>0.13</v>
      </c>
      <c r="D210" s="8">
        <v>195</v>
      </c>
      <c r="E210" s="8">
        <f t="shared" ref="E210" si="21">C210*D210</f>
        <v>25.35</v>
      </c>
      <c r="H210" s="8"/>
      <c r="J210" s="40"/>
    </row>
    <row r="211" spans="1:10" x14ac:dyDescent="0.35">
      <c r="A211" s="18"/>
      <c r="B211" s="13"/>
      <c r="C211" s="7"/>
      <c r="D211" s="8"/>
      <c r="E211" s="8"/>
      <c r="H211" s="8"/>
      <c r="J211" s="40"/>
    </row>
    <row r="212" spans="1:10" x14ac:dyDescent="0.35">
      <c r="A212" s="18"/>
      <c r="B212" s="13"/>
      <c r="C212" s="7"/>
      <c r="D212" s="8"/>
      <c r="E212" s="8"/>
      <c r="H212" s="8"/>
      <c r="J212" s="40"/>
    </row>
    <row r="213" spans="1:10" x14ac:dyDescent="0.35">
      <c r="A213" s="18"/>
      <c r="B213" s="13"/>
      <c r="C213" s="7"/>
      <c r="D213" s="8"/>
      <c r="E213" s="8"/>
      <c r="H213" s="8"/>
      <c r="J213" s="40"/>
    </row>
    <row r="214" spans="1:10" x14ac:dyDescent="0.35">
      <c r="A214" s="18"/>
      <c r="C214" s="19"/>
      <c r="D214" s="8"/>
      <c r="E214" s="20">
        <f>SUM(E208:E213)</f>
        <v>35.85</v>
      </c>
      <c r="H214" s="8"/>
      <c r="J214" s="40"/>
    </row>
    <row r="215" spans="1:10" x14ac:dyDescent="0.35">
      <c r="A215" s="18"/>
      <c r="C215" s="25"/>
      <c r="D215" s="8"/>
      <c r="E215" s="8"/>
      <c r="H215" s="8"/>
      <c r="J215" s="40"/>
    </row>
    <row r="216" spans="1:10" s="5" customFormat="1" ht="21" x14ac:dyDescent="0.4">
      <c r="A216" s="1"/>
      <c r="B216" s="2" t="s">
        <v>48</v>
      </c>
      <c r="C216" s="3"/>
      <c r="D216" s="3"/>
      <c r="E216" s="3"/>
      <c r="F216" s="3"/>
      <c r="G216" s="3"/>
      <c r="H216" s="3"/>
      <c r="I216" s="4"/>
      <c r="J216" s="40"/>
    </row>
    <row r="217" spans="1:10" x14ac:dyDescent="0.35">
      <c r="J217" s="40"/>
    </row>
    <row r="218" spans="1:10" ht="18" x14ac:dyDescent="0.3">
      <c r="A218" s="12">
        <v>19</v>
      </c>
      <c r="B218" t="s">
        <v>1</v>
      </c>
      <c r="C218" s="7" t="s">
        <v>2</v>
      </c>
      <c r="D218" s="8" t="s">
        <v>3</v>
      </c>
      <c r="E218" s="8" t="s">
        <v>4</v>
      </c>
      <c r="F218" t="s">
        <v>5</v>
      </c>
      <c r="G218" t="s">
        <v>6</v>
      </c>
      <c r="H218" s="9" t="s">
        <v>7</v>
      </c>
      <c r="I218" s="10" t="s">
        <v>8</v>
      </c>
      <c r="J218" s="38" t="s">
        <v>137</v>
      </c>
    </row>
    <row r="219" spans="1:10" ht="18" x14ac:dyDescent="0.35">
      <c r="A219" s="17" t="s">
        <v>49</v>
      </c>
      <c r="B219" s="13" t="s">
        <v>28</v>
      </c>
      <c r="C219" s="7">
        <v>1</v>
      </c>
      <c r="D219" s="8">
        <v>12.1</v>
      </c>
      <c r="E219" s="8">
        <f t="shared" ref="E219:E221" si="22">C219*D219</f>
        <v>12.1</v>
      </c>
      <c r="F219" s="14">
        <f>E225</f>
        <v>14</v>
      </c>
      <c r="G219">
        <v>1</v>
      </c>
      <c r="H219" s="15">
        <f>F219/G219</f>
        <v>14</v>
      </c>
      <c r="I219" s="16">
        <v>25</v>
      </c>
      <c r="J219" s="40">
        <f t="shared" si="19"/>
        <v>56.000000000000007</v>
      </c>
    </row>
    <row r="220" spans="1:10" x14ac:dyDescent="0.35">
      <c r="B220" s="13" t="s">
        <v>12</v>
      </c>
      <c r="C220" s="7">
        <v>1.2E-2</v>
      </c>
      <c r="D220" s="8">
        <v>60</v>
      </c>
      <c r="E220" s="8">
        <f t="shared" si="22"/>
        <v>0.72</v>
      </c>
      <c r="H220" s="8"/>
      <c r="J220" s="40"/>
    </row>
    <row r="221" spans="1:10" x14ac:dyDescent="0.35">
      <c r="A221" s="18"/>
      <c r="B221" s="13" t="s">
        <v>13</v>
      </c>
      <c r="C221" s="7">
        <v>0.01</v>
      </c>
      <c r="D221" s="8">
        <v>118</v>
      </c>
      <c r="E221" s="8">
        <f t="shared" si="22"/>
        <v>1.18</v>
      </c>
      <c r="H221" s="8"/>
      <c r="J221" s="40"/>
    </row>
    <row r="222" spans="1:10" x14ac:dyDescent="0.35">
      <c r="A222" s="18"/>
      <c r="B222" s="13"/>
      <c r="C222" s="7"/>
      <c r="D222" s="8"/>
      <c r="E222" s="8"/>
      <c r="H222" s="8"/>
      <c r="J222" s="40"/>
    </row>
    <row r="223" spans="1:10" x14ac:dyDescent="0.35">
      <c r="A223" s="18"/>
      <c r="B223" s="13"/>
      <c r="C223" s="7"/>
      <c r="D223" s="8"/>
      <c r="E223" s="8"/>
      <c r="H223" s="8"/>
      <c r="J223" s="40"/>
    </row>
    <row r="224" spans="1:10" x14ac:dyDescent="0.35">
      <c r="A224" s="18"/>
      <c r="B224" s="13"/>
      <c r="C224" s="7"/>
      <c r="D224" s="8"/>
      <c r="E224" s="8"/>
      <c r="H224" s="8"/>
      <c r="J224" s="40"/>
    </row>
    <row r="225" spans="1:10" x14ac:dyDescent="0.35">
      <c r="A225" s="18"/>
      <c r="C225" s="19"/>
      <c r="D225" s="8"/>
      <c r="E225" s="20">
        <f>SUM(E219:E224)</f>
        <v>14</v>
      </c>
      <c r="H225" s="8"/>
      <c r="J225" s="40"/>
    </row>
    <row r="226" spans="1:10" x14ac:dyDescent="0.35">
      <c r="J226" s="40"/>
    </row>
    <row r="227" spans="1:10" x14ac:dyDescent="0.35">
      <c r="J227" s="40"/>
    </row>
    <row r="228" spans="1:10" x14ac:dyDescent="0.35">
      <c r="J228" s="40"/>
    </row>
    <row r="229" spans="1:10" ht="18" x14ac:dyDescent="0.3">
      <c r="A229" s="12">
        <v>20</v>
      </c>
      <c r="B229" t="s">
        <v>1</v>
      </c>
      <c r="C229" s="7" t="s">
        <v>2</v>
      </c>
      <c r="D229" s="8" t="s">
        <v>3</v>
      </c>
      <c r="E229" s="8" t="s">
        <v>4</v>
      </c>
      <c r="F229" t="s">
        <v>5</v>
      </c>
      <c r="G229" t="s">
        <v>6</v>
      </c>
      <c r="H229" s="9" t="s">
        <v>7</v>
      </c>
      <c r="I229" s="10" t="s">
        <v>8</v>
      </c>
      <c r="J229" s="38" t="s">
        <v>137</v>
      </c>
    </row>
    <row r="230" spans="1:10" ht="18" x14ac:dyDescent="0.35">
      <c r="A230" s="17" t="s">
        <v>138</v>
      </c>
      <c r="B230" s="13" t="s">
        <v>50</v>
      </c>
      <c r="C230" s="7">
        <v>1</v>
      </c>
      <c r="D230" s="8">
        <v>11</v>
      </c>
      <c r="E230" s="8">
        <f t="shared" ref="E230:E232" si="23">C230*D230</f>
        <v>11</v>
      </c>
      <c r="F230" s="14">
        <f>E236</f>
        <v>12.9</v>
      </c>
      <c r="G230">
        <v>1</v>
      </c>
      <c r="H230" s="15">
        <f>F230/G230</f>
        <v>12.9</v>
      </c>
      <c r="I230" s="16">
        <v>25</v>
      </c>
      <c r="J230" s="40">
        <f t="shared" si="19"/>
        <v>51.6</v>
      </c>
    </row>
    <row r="231" spans="1:10" x14ac:dyDescent="0.35">
      <c r="B231" s="13" t="s">
        <v>12</v>
      </c>
      <c r="C231" s="7">
        <v>1.2E-2</v>
      </c>
      <c r="D231" s="8">
        <v>60</v>
      </c>
      <c r="E231" s="8">
        <f t="shared" si="23"/>
        <v>0.72</v>
      </c>
      <c r="H231" s="8"/>
      <c r="J231" s="40"/>
    </row>
    <row r="232" spans="1:10" x14ac:dyDescent="0.35">
      <c r="A232" s="18"/>
      <c r="B232" s="13" t="s">
        <v>13</v>
      </c>
      <c r="C232" s="7">
        <v>0.01</v>
      </c>
      <c r="D232" s="8">
        <v>118</v>
      </c>
      <c r="E232" s="8">
        <f t="shared" si="23"/>
        <v>1.18</v>
      </c>
      <c r="H232" s="8"/>
      <c r="J232" s="40"/>
    </row>
    <row r="233" spans="1:10" x14ac:dyDescent="0.35">
      <c r="A233" s="18"/>
      <c r="B233" s="13"/>
      <c r="C233" s="7"/>
      <c r="D233" s="8"/>
      <c r="E233" s="8"/>
      <c r="H233" s="8"/>
      <c r="J233" s="40"/>
    </row>
    <row r="234" spans="1:10" x14ac:dyDescent="0.35">
      <c r="A234" s="18"/>
      <c r="B234" s="13"/>
      <c r="C234" s="7"/>
      <c r="D234" s="8"/>
      <c r="E234" s="8"/>
      <c r="H234" s="8"/>
      <c r="J234" s="40"/>
    </row>
    <row r="235" spans="1:10" x14ac:dyDescent="0.35">
      <c r="A235" s="18"/>
      <c r="B235" s="13"/>
      <c r="C235" s="7"/>
      <c r="D235" s="8"/>
      <c r="E235" s="8"/>
      <c r="H235" s="8"/>
      <c r="J235" s="40"/>
    </row>
    <row r="236" spans="1:10" x14ac:dyDescent="0.35">
      <c r="A236" s="18"/>
      <c r="C236" s="19"/>
      <c r="D236" s="8"/>
      <c r="E236" s="20">
        <f>SUM(E230:E235)</f>
        <v>12.9</v>
      </c>
      <c r="H236" s="8"/>
      <c r="J236" s="40"/>
    </row>
    <row r="237" spans="1:10" x14ac:dyDescent="0.35">
      <c r="A237" s="18"/>
      <c r="J237" s="40"/>
    </row>
    <row r="238" spans="1:10" x14ac:dyDescent="0.35">
      <c r="J238" s="40"/>
    </row>
    <row r="239" spans="1:10" x14ac:dyDescent="0.35">
      <c r="J239" s="40"/>
    </row>
    <row r="240" spans="1:10" x14ac:dyDescent="0.35">
      <c r="J240" s="40"/>
    </row>
    <row r="241" spans="1:10" ht="18" x14ac:dyDescent="0.3">
      <c r="A241" s="12">
        <v>21</v>
      </c>
      <c r="B241" t="s">
        <v>1</v>
      </c>
      <c r="C241" s="7" t="s">
        <v>2</v>
      </c>
      <c r="D241" s="8" t="s">
        <v>3</v>
      </c>
      <c r="E241" s="8" t="s">
        <v>4</v>
      </c>
      <c r="F241" t="s">
        <v>5</v>
      </c>
      <c r="G241" t="s">
        <v>6</v>
      </c>
      <c r="H241" s="9" t="s">
        <v>7</v>
      </c>
      <c r="I241" s="10" t="s">
        <v>8</v>
      </c>
      <c r="J241" s="38" t="s">
        <v>137</v>
      </c>
    </row>
    <row r="242" spans="1:10" ht="18" x14ac:dyDescent="0.35">
      <c r="A242" s="17" t="s">
        <v>51</v>
      </c>
      <c r="B242" s="13" t="s">
        <v>52</v>
      </c>
      <c r="C242" s="7">
        <v>3</v>
      </c>
      <c r="D242" s="8">
        <v>3.5</v>
      </c>
      <c r="E242" s="8">
        <f t="shared" ref="E242:E244" si="24">C242*D242</f>
        <v>10.5</v>
      </c>
      <c r="F242" s="14">
        <f>E248</f>
        <v>12.4</v>
      </c>
      <c r="G242">
        <v>1</v>
      </c>
      <c r="H242" s="15">
        <f>F242/G242</f>
        <v>12.4</v>
      </c>
      <c r="I242" s="16">
        <v>25</v>
      </c>
      <c r="J242" s="40">
        <f t="shared" si="19"/>
        <v>49.6</v>
      </c>
    </row>
    <row r="243" spans="1:10" x14ac:dyDescent="0.35">
      <c r="A243" s="26" t="s">
        <v>53</v>
      </c>
      <c r="B243" s="13" t="s">
        <v>12</v>
      </c>
      <c r="C243" s="7">
        <v>1.2E-2</v>
      </c>
      <c r="D243" s="8">
        <v>60</v>
      </c>
      <c r="E243" s="8">
        <f t="shared" si="24"/>
        <v>0.72</v>
      </c>
      <c r="H243" s="8"/>
      <c r="J243" s="40"/>
    </row>
    <row r="244" spans="1:10" x14ac:dyDescent="0.35">
      <c r="B244" s="13" t="s">
        <v>13</v>
      </c>
      <c r="C244" s="7">
        <v>0.01</v>
      </c>
      <c r="D244" s="8">
        <v>118</v>
      </c>
      <c r="E244" s="8">
        <f t="shared" si="24"/>
        <v>1.18</v>
      </c>
      <c r="H244" s="8"/>
      <c r="J244" s="40"/>
    </row>
    <row r="245" spans="1:10" x14ac:dyDescent="0.35">
      <c r="A245" s="18"/>
      <c r="B245" s="13"/>
      <c r="C245" s="7"/>
      <c r="D245" s="8"/>
      <c r="E245" s="8"/>
      <c r="H245" s="8"/>
      <c r="J245" s="40"/>
    </row>
    <row r="246" spans="1:10" x14ac:dyDescent="0.35">
      <c r="A246" s="18"/>
      <c r="B246" s="13"/>
      <c r="C246" s="7"/>
      <c r="D246" s="8"/>
      <c r="E246" s="8"/>
      <c r="H246" s="8"/>
      <c r="J246" s="40"/>
    </row>
    <row r="247" spans="1:10" x14ac:dyDescent="0.35">
      <c r="A247" s="18"/>
      <c r="B247" s="13"/>
      <c r="C247" s="7"/>
      <c r="D247" s="8"/>
      <c r="E247" s="8"/>
      <c r="H247" s="8"/>
      <c r="J247" s="40"/>
    </row>
    <row r="248" spans="1:10" x14ac:dyDescent="0.35">
      <c r="A248" s="18"/>
      <c r="C248" s="19"/>
      <c r="D248" s="8"/>
      <c r="E248" s="20">
        <f>SUM(E242:E247)</f>
        <v>12.4</v>
      </c>
      <c r="H248" s="8"/>
      <c r="J248" s="40"/>
    </row>
    <row r="249" spans="1:10" x14ac:dyDescent="0.35">
      <c r="J249" s="40"/>
    </row>
    <row r="250" spans="1:10" x14ac:dyDescent="0.35">
      <c r="J250" s="40"/>
    </row>
    <row r="251" spans="1:10" x14ac:dyDescent="0.35">
      <c r="J251" s="40"/>
    </row>
    <row r="252" spans="1:10" ht="15.6" x14ac:dyDescent="0.3">
      <c r="A252" s="6"/>
      <c r="B252" t="s">
        <v>1</v>
      </c>
      <c r="C252" s="7" t="s">
        <v>2</v>
      </c>
      <c r="D252" s="8" t="s">
        <v>3</v>
      </c>
      <c r="E252" s="8" t="s">
        <v>4</v>
      </c>
      <c r="F252" t="s">
        <v>5</v>
      </c>
      <c r="G252" t="s">
        <v>6</v>
      </c>
      <c r="H252" s="14" t="s">
        <v>7</v>
      </c>
      <c r="I252" s="10" t="s">
        <v>8</v>
      </c>
      <c r="J252" s="38" t="s">
        <v>137</v>
      </c>
    </row>
    <row r="253" spans="1:10" ht="18" x14ac:dyDescent="0.35">
      <c r="A253" s="12">
        <v>22</v>
      </c>
      <c r="B253" s="13"/>
      <c r="C253" s="7"/>
      <c r="D253" s="8"/>
      <c r="E253" s="8">
        <f t="shared" ref="E253:E260" si="25">C253*D253</f>
        <v>0</v>
      </c>
      <c r="F253" s="14">
        <f>E261</f>
        <v>0</v>
      </c>
      <c r="G253">
        <v>1</v>
      </c>
      <c r="H253" s="15"/>
      <c r="I253" s="16">
        <v>150</v>
      </c>
      <c r="J253" s="40">
        <f t="shared" si="19"/>
        <v>0</v>
      </c>
    </row>
    <row r="254" spans="1:10" ht="18" x14ac:dyDescent="0.35">
      <c r="A254" s="27" t="s">
        <v>54</v>
      </c>
      <c r="B254" s="13"/>
      <c r="C254" s="7"/>
      <c r="D254" s="8"/>
      <c r="E254" s="8">
        <f t="shared" si="25"/>
        <v>0</v>
      </c>
      <c r="H254" s="8"/>
      <c r="J254" s="40"/>
    </row>
    <row r="255" spans="1:10" x14ac:dyDescent="0.35">
      <c r="A255" s="18"/>
      <c r="B255" s="13"/>
      <c r="C255" s="7"/>
      <c r="D255" s="8"/>
      <c r="E255" s="8">
        <f t="shared" si="25"/>
        <v>0</v>
      </c>
      <c r="H255" s="8"/>
      <c r="J255" s="40"/>
    </row>
    <row r="256" spans="1:10" x14ac:dyDescent="0.35">
      <c r="A256" s="18"/>
      <c r="B256" s="13"/>
      <c r="C256" s="7"/>
      <c r="D256" s="8"/>
      <c r="E256" s="8">
        <f t="shared" si="25"/>
        <v>0</v>
      </c>
      <c r="H256" s="8"/>
      <c r="J256" s="40"/>
    </row>
    <row r="257" spans="1:10" x14ac:dyDescent="0.35">
      <c r="A257" s="18"/>
      <c r="B257" s="13"/>
      <c r="C257" s="7"/>
      <c r="D257" s="8"/>
      <c r="E257" s="8">
        <f t="shared" si="25"/>
        <v>0</v>
      </c>
      <c r="H257" s="8"/>
      <c r="J257" s="40"/>
    </row>
    <row r="258" spans="1:10" x14ac:dyDescent="0.35">
      <c r="A258" s="18"/>
      <c r="B258" s="13"/>
      <c r="C258" s="7"/>
      <c r="D258" s="8"/>
      <c r="E258" s="8">
        <f t="shared" si="25"/>
        <v>0</v>
      </c>
      <c r="H258" s="8"/>
      <c r="J258" s="40"/>
    </row>
    <row r="259" spans="1:10" x14ac:dyDescent="0.35">
      <c r="A259" s="18"/>
      <c r="B259" s="13"/>
      <c r="C259" s="7"/>
      <c r="D259" s="8"/>
      <c r="E259" s="8">
        <f t="shared" si="25"/>
        <v>0</v>
      </c>
      <c r="H259" s="8"/>
      <c r="J259" s="40"/>
    </row>
    <row r="260" spans="1:10" x14ac:dyDescent="0.35">
      <c r="A260" s="18"/>
      <c r="B260" s="13"/>
      <c r="C260" s="7"/>
      <c r="D260" s="8"/>
      <c r="E260" s="8">
        <f t="shared" si="25"/>
        <v>0</v>
      </c>
      <c r="H260" s="8"/>
      <c r="J260" s="40"/>
    </row>
    <row r="261" spans="1:10" x14ac:dyDescent="0.35">
      <c r="A261" s="18"/>
      <c r="C261" s="19">
        <f>SUM(C253:C260)</f>
        <v>0</v>
      </c>
      <c r="D261" s="8"/>
      <c r="E261" s="20">
        <f>SUM(E253:E260)</f>
        <v>0</v>
      </c>
      <c r="H261" s="8"/>
      <c r="J261" s="40"/>
    </row>
    <row r="262" spans="1:10" x14ac:dyDescent="0.35">
      <c r="J262" s="40"/>
    </row>
    <row r="263" spans="1:10" x14ac:dyDescent="0.35">
      <c r="J263" s="40"/>
    </row>
    <row r="264" spans="1:10" ht="15.6" x14ac:dyDescent="0.3">
      <c r="A264" s="6"/>
      <c r="B264" t="s">
        <v>1</v>
      </c>
      <c r="C264" s="7" t="s">
        <v>2</v>
      </c>
      <c r="D264" s="8" t="s">
        <v>3</v>
      </c>
      <c r="E264" s="8" t="s">
        <v>4</v>
      </c>
      <c r="F264" t="s">
        <v>5</v>
      </c>
      <c r="G264" t="s">
        <v>6</v>
      </c>
      <c r="H264" s="9" t="s">
        <v>7</v>
      </c>
      <c r="I264" s="10" t="s">
        <v>8</v>
      </c>
      <c r="J264" s="38" t="s">
        <v>137</v>
      </c>
    </row>
    <row r="265" spans="1:10" ht="18" x14ac:dyDescent="0.35">
      <c r="A265" s="12">
        <v>23</v>
      </c>
      <c r="B265" s="13" t="s">
        <v>57</v>
      </c>
      <c r="C265" s="7">
        <v>0.14000000000000001</v>
      </c>
      <c r="D265" s="8">
        <v>94</v>
      </c>
      <c r="E265" s="8">
        <f t="shared" ref="E265:E273" si="26">C265*D265</f>
        <v>13.160000000000002</v>
      </c>
      <c r="F265" s="14">
        <f>E278</f>
        <v>42.951999999999991</v>
      </c>
      <c r="G265">
        <v>1</v>
      </c>
      <c r="H265" s="15">
        <f>F265/G265</f>
        <v>42.951999999999991</v>
      </c>
      <c r="I265" s="16">
        <v>125</v>
      </c>
      <c r="J265" s="40">
        <f t="shared" ref="J265:J308" si="27">H265/I265*100</f>
        <v>34.361599999999996</v>
      </c>
    </row>
    <row r="266" spans="1:10" ht="18" x14ac:dyDescent="0.35">
      <c r="A266" s="17" t="s">
        <v>58</v>
      </c>
      <c r="B266" s="13" t="s">
        <v>59</v>
      </c>
      <c r="C266" s="7">
        <v>0.03</v>
      </c>
      <c r="D266" s="8">
        <v>70</v>
      </c>
      <c r="E266" s="8">
        <f t="shared" si="26"/>
        <v>2.1</v>
      </c>
      <c r="H266" s="8"/>
      <c r="J266" s="40"/>
    </row>
    <row r="267" spans="1:10" ht="18" x14ac:dyDescent="0.35">
      <c r="A267" s="17"/>
      <c r="B267" s="13" t="s">
        <v>60</v>
      </c>
      <c r="C267" s="7">
        <v>0.03</v>
      </c>
      <c r="D267" s="8">
        <v>80</v>
      </c>
      <c r="E267" s="8">
        <f t="shared" si="26"/>
        <v>2.4</v>
      </c>
      <c r="H267" s="8"/>
      <c r="J267" s="40"/>
    </row>
    <row r="268" spans="1:10" ht="18" x14ac:dyDescent="0.35">
      <c r="A268" s="17"/>
      <c r="B268" s="13" t="s">
        <v>61</v>
      </c>
      <c r="C268" s="7">
        <v>1</v>
      </c>
      <c r="D268" s="8">
        <v>10</v>
      </c>
      <c r="E268" s="8">
        <f t="shared" si="26"/>
        <v>10</v>
      </c>
      <c r="H268" s="8"/>
      <c r="J268" s="40"/>
    </row>
    <row r="269" spans="1:10" ht="18" x14ac:dyDescent="0.35">
      <c r="A269" s="17"/>
      <c r="B269" s="13" t="s">
        <v>62</v>
      </c>
      <c r="C269" s="7">
        <v>3.0000000000000001E-3</v>
      </c>
      <c r="D269" s="8">
        <v>28</v>
      </c>
      <c r="E269" s="8">
        <f t="shared" si="26"/>
        <v>8.4000000000000005E-2</v>
      </c>
      <c r="H269" s="8"/>
      <c r="J269" s="40"/>
    </row>
    <row r="270" spans="1:10" ht="18" x14ac:dyDescent="0.35">
      <c r="A270" s="17"/>
      <c r="B270" s="13" t="s">
        <v>63</v>
      </c>
      <c r="C270" s="7">
        <v>0.02</v>
      </c>
      <c r="D270" s="8">
        <v>640</v>
      </c>
      <c r="E270" s="8">
        <f t="shared" si="26"/>
        <v>12.8</v>
      </c>
      <c r="H270" s="8"/>
      <c r="J270" s="40"/>
    </row>
    <row r="271" spans="1:10" x14ac:dyDescent="0.35">
      <c r="A271" s="18"/>
      <c r="B271" s="13" t="s">
        <v>12</v>
      </c>
      <c r="C271" s="7">
        <v>1.4999999999999999E-2</v>
      </c>
      <c r="D271" s="8">
        <v>60</v>
      </c>
      <c r="E271" s="8">
        <f t="shared" si="26"/>
        <v>0.89999999999999991</v>
      </c>
      <c r="H271" s="8"/>
      <c r="J271" s="40"/>
    </row>
    <row r="272" spans="1:10" x14ac:dyDescent="0.35">
      <c r="A272" s="18"/>
      <c r="B272" s="13" t="s">
        <v>13</v>
      </c>
      <c r="C272" s="7">
        <v>6.0000000000000001E-3</v>
      </c>
      <c r="D272" s="8">
        <v>118</v>
      </c>
      <c r="E272" s="8">
        <f t="shared" si="26"/>
        <v>0.70799999999999996</v>
      </c>
      <c r="H272" s="8"/>
      <c r="J272" s="40"/>
    </row>
    <row r="273" spans="1:10" x14ac:dyDescent="0.35">
      <c r="A273" s="18"/>
      <c r="B273" s="13" t="s">
        <v>30</v>
      </c>
      <c r="C273" s="7">
        <v>0.01</v>
      </c>
      <c r="D273" s="8">
        <v>80</v>
      </c>
      <c r="E273" s="8">
        <f t="shared" si="26"/>
        <v>0.8</v>
      </c>
      <c r="H273" s="8"/>
      <c r="J273" s="40"/>
    </row>
    <row r="274" spans="1:10" x14ac:dyDescent="0.35">
      <c r="A274" s="18"/>
      <c r="B274" s="13"/>
      <c r="C274" s="7"/>
      <c r="D274" s="8"/>
      <c r="E274" s="8"/>
      <c r="H274" s="8"/>
      <c r="J274" s="40"/>
    </row>
    <row r="275" spans="1:10" x14ac:dyDescent="0.35">
      <c r="A275" s="18"/>
      <c r="B275" s="13"/>
      <c r="C275" s="7"/>
      <c r="D275" s="8"/>
      <c r="E275" s="8"/>
      <c r="H275" s="8"/>
      <c r="J275" s="40"/>
    </row>
    <row r="276" spans="1:10" x14ac:dyDescent="0.35">
      <c r="A276" s="18"/>
      <c r="B276" s="13"/>
      <c r="C276" s="7"/>
      <c r="D276" s="8"/>
      <c r="E276" s="8"/>
      <c r="H276" s="8"/>
      <c r="J276" s="40"/>
    </row>
    <row r="277" spans="1:10" x14ac:dyDescent="0.35">
      <c r="A277" s="18"/>
      <c r="B277" s="13"/>
      <c r="C277" s="7"/>
      <c r="D277" s="8"/>
      <c r="E277" s="8"/>
      <c r="H277" s="8"/>
      <c r="J277" s="40"/>
    </row>
    <row r="278" spans="1:10" x14ac:dyDescent="0.35">
      <c r="A278" s="18"/>
      <c r="C278" s="19"/>
      <c r="D278" s="8"/>
      <c r="E278" s="20">
        <f>SUM(E265:E277)</f>
        <v>42.951999999999991</v>
      </c>
      <c r="H278" s="8"/>
      <c r="J278" s="40"/>
    </row>
    <row r="279" spans="1:10" x14ac:dyDescent="0.35">
      <c r="J279" s="40"/>
    </row>
    <row r="280" spans="1:10" x14ac:dyDescent="0.35">
      <c r="J280" s="40"/>
    </row>
    <row r="281" spans="1:10" ht="15.6" x14ac:dyDescent="0.3">
      <c r="A281" s="6"/>
      <c r="B281" t="s">
        <v>1</v>
      </c>
      <c r="C281" s="7" t="s">
        <v>2</v>
      </c>
      <c r="D281" s="8" t="s">
        <v>3</v>
      </c>
      <c r="E281" s="8" t="s">
        <v>4</v>
      </c>
      <c r="F281" t="s">
        <v>5</v>
      </c>
      <c r="G281" t="s">
        <v>6</v>
      </c>
      <c r="H281" s="9" t="s">
        <v>7</v>
      </c>
      <c r="I281" s="10" t="s">
        <v>8</v>
      </c>
      <c r="J281" s="38" t="s">
        <v>137</v>
      </c>
    </row>
    <row r="282" spans="1:10" ht="18" x14ac:dyDescent="0.35">
      <c r="A282" s="12">
        <v>24</v>
      </c>
      <c r="B282" s="13" t="s">
        <v>64</v>
      </c>
      <c r="C282" s="7">
        <v>2</v>
      </c>
      <c r="D282" s="8">
        <v>5</v>
      </c>
      <c r="E282" s="8">
        <f t="shared" ref="E282:E285" si="28">C282*D282</f>
        <v>10</v>
      </c>
      <c r="F282" s="14">
        <f>E289</f>
        <v>13.87</v>
      </c>
      <c r="G282">
        <v>1</v>
      </c>
      <c r="H282" s="15">
        <f>F282/G282</f>
        <v>13.87</v>
      </c>
      <c r="I282" s="16">
        <v>50</v>
      </c>
      <c r="J282" s="40">
        <f t="shared" si="27"/>
        <v>27.74</v>
      </c>
    </row>
    <row r="283" spans="1:10" ht="18" x14ac:dyDescent="0.35">
      <c r="A283" s="17" t="s">
        <v>65</v>
      </c>
      <c r="B283" s="13" t="s">
        <v>12</v>
      </c>
      <c r="C283" s="7">
        <v>0.02</v>
      </c>
      <c r="D283" s="8">
        <v>60</v>
      </c>
      <c r="E283" s="8">
        <f t="shared" si="28"/>
        <v>1.2</v>
      </c>
      <c r="H283" s="8"/>
      <c r="J283" s="40"/>
    </row>
    <row r="284" spans="1:10" x14ac:dyDescent="0.35">
      <c r="A284" s="18"/>
      <c r="B284" s="13" t="s">
        <v>13</v>
      </c>
      <c r="C284" s="7">
        <v>1.4999999999999999E-2</v>
      </c>
      <c r="D284" s="8">
        <v>118</v>
      </c>
      <c r="E284" s="8">
        <f t="shared" si="28"/>
        <v>1.77</v>
      </c>
      <c r="H284" s="8"/>
      <c r="J284" s="40"/>
    </row>
    <row r="285" spans="1:10" x14ac:dyDescent="0.35">
      <c r="A285" s="18"/>
      <c r="B285" s="13" t="s">
        <v>66</v>
      </c>
      <c r="C285" s="7">
        <v>5.0000000000000001E-3</v>
      </c>
      <c r="D285" s="8">
        <v>180</v>
      </c>
      <c r="E285" s="8">
        <f t="shared" si="28"/>
        <v>0.9</v>
      </c>
      <c r="H285" s="8"/>
      <c r="J285" s="40"/>
    </row>
    <row r="286" spans="1:10" x14ac:dyDescent="0.35">
      <c r="A286" s="18"/>
      <c r="B286" s="13"/>
      <c r="C286" s="7"/>
      <c r="D286" s="8"/>
      <c r="E286" s="8"/>
      <c r="H286" s="8"/>
      <c r="J286" s="40"/>
    </row>
    <row r="287" spans="1:10" x14ac:dyDescent="0.35">
      <c r="A287" s="18"/>
      <c r="B287" s="13"/>
      <c r="C287" s="7"/>
      <c r="D287" s="8"/>
      <c r="E287" s="8"/>
      <c r="H287" s="8"/>
      <c r="J287" s="40"/>
    </row>
    <row r="288" spans="1:10" x14ac:dyDescent="0.35">
      <c r="A288" s="18"/>
      <c r="B288" s="13"/>
      <c r="C288" s="7"/>
      <c r="D288" s="8"/>
      <c r="E288" s="8"/>
      <c r="H288" s="8"/>
      <c r="J288" s="40"/>
    </row>
    <row r="289" spans="1:10" x14ac:dyDescent="0.35">
      <c r="A289" s="18"/>
      <c r="C289" s="19"/>
      <c r="D289" s="8"/>
      <c r="E289" s="20">
        <f>SUM(E282:E288)</f>
        <v>13.87</v>
      </c>
      <c r="H289" s="8"/>
      <c r="J289" s="40"/>
    </row>
    <row r="290" spans="1:10" x14ac:dyDescent="0.35">
      <c r="J290" s="40"/>
    </row>
    <row r="291" spans="1:10" x14ac:dyDescent="0.35">
      <c r="J291" s="40"/>
    </row>
    <row r="292" spans="1:10" ht="18" x14ac:dyDescent="0.3">
      <c r="A292" s="12">
        <v>25</v>
      </c>
      <c r="B292" t="s">
        <v>1</v>
      </c>
      <c r="C292" s="7" t="s">
        <v>2</v>
      </c>
      <c r="D292" s="8" t="s">
        <v>3</v>
      </c>
      <c r="E292" s="8" t="s">
        <v>4</v>
      </c>
      <c r="F292" t="s">
        <v>5</v>
      </c>
      <c r="G292" t="s">
        <v>6</v>
      </c>
      <c r="H292" s="9" t="s">
        <v>7</v>
      </c>
      <c r="I292" s="10" t="s">
        <v>8</v>
      </c>
      <c r="J292" s="38" t="s">
        <v>137</v>
      </c>
    </row>
    <row r="293" spans="1:10" ht="18" x14ac:dyDescent="0.35">
      <c r="A293" s="17" t="s">
        <v>67</v>
      </c>
      <c r="B293" s="13" t="s">
        <v>68</v>
      </c>
      <c r="C293" s="7">
        <v>0.11</v>
      </c>
      <c r="D293" s="8">
        <v>185</v>
      </c>
      <c r="E293" s="8">
        <f t="shared" ref="E293:E300" si="29">C293*D293</f>
        <v>20.350000000000001</v>
      </c>
      <c r="F293" s="14">
        <f>E304</f>
        <v>43.860000000000014</v>
      </c>
      <c r="G293">
        <v>1</v>
      </c>
      <c r="H293" s="15">
        <f>F293/G293</f>
        <v>43.860000000000014</v>
      </c>
      <c r="I293" s="16">
        <v>180</v>
      </c>
      <c r="J293" s="40">
        <f t="shared" si="27"/>
        <v>24.366666666666674</v>
      </c>
    </row>
    <row r="294" spans="1:10" x14ac:dyDescent="0.35">
      <c r="B294" s="13" t="s">
        <v>69</v>
      </c>
      <c r="C294" s="7">
        <v>3</v>
      </c>
      <c r="D294" s="8">
        <v>6</v>
      </c>
      <c r="E294" s="8">
        <f t="shared" si="29"/>
        <v>18</v>
      </c>
      <c r="H294" s="8"/>
      <c r="J294" s="40"/>
    </row>
    <row r="295" spans="1:10" x14ac:dyDescent="0.35">
      <c r="A295" s="18"/>
      <c r="B295" s="13" t="s">
        <v>70</v>
      </c>
      <c r="C295" s="7">
        <v>1.4999999999999999E-2</v>
      </c>
      <c r="D295" s="8">
        <v>130</v>
      </c>
      <c r="E295" s="8">
        <f t="shared" si="29"/>
        <v>1.95</v>
      </c>
      <c r="H295" s="8"/>
      <c r="J295" s="40"/>
    </row>
    <row r="296" spans="1:10" x14ac:dyDescent="0.35">
      <c r="A296" s="18"/>
      <c r="B296" s="13" t="s">
        <v>71</v>
      </c>
      <c r="C296" s="7">
        <v>5.0000000000000001E-3</v>
      </c>
      <c r="D296" s="8">
        <v>118</v>
      </c>
      <c r="E296" s="8">
        <f t="shared" si="29"/>
        <v>0.59</v>
      </c>
      <c r="H296" s="8"/>
      <c r="J296" s="40"/>
    </row>
    <row r="297" spans="1:10" x14ac:dyDescent="0.35">
      <c r="A297" s="18"/>
      <c r="B297" s="13" t="s">
        <v>24</v>
      </c>
      <c r="C297" s="7">
        <v>0.03</v>
      </c>
      <c r="D297" s="8">
        <v>34</v>
      </c>
      <c r="E297" s="8">
        <f t="shared" si="29"/>
        <v>1.02</v>
      </c>
      <c r="H297" s="8"/>
      <c r="J297" s="40"/>
    </row>
    <row r="298" spans="1:10" x14ac:dyDescent="0.35">
      <c r="A298" s="18"/>
      <c r="B298" s="13" t="s">
        <v>72</v>
      </c>
      <c r="C298" s="7">
        <v>0.01</v>
      </c>
      <c r="D298" s="8">
        <v>60</v>
      </c>
      <c r="E298" s="8">
        <f t="shared" si="29"/>
        <v>0.6</v>
      </c>
      <c r="H298" s="8"/>
      <c r="J298" s="40"/>
    </row>
    <row r="299" spans="1:10" x14ac:dyDescent="0.35">
      <c r="A299" s="18"/>
      <c r="B299" s="13" t="s">
        <v>73</v>
      </c>
      <c r="C299" s="7">
        <v>0.01</v>
      </c>
      <c r="D299" s="8">
        <v>95</v>
      </c>
      <c r="E299" s="8">
        <f t="shared" si="29"/>
        <v>0.95000000000000007</v>
      </c>
      <c r="H299" s="8"/>
      <c r="J299" s="40"/>
    </row>
    <row r="300" spans="1:10" x14ac:dyDescent="0.35">
      <c r="A300" s="18"/>
      <c r="B300" s="13" t="s">
        <v>96</v>
      </c>
      <c r="C300" s="7">
        <v>5.0000000000000001E-3</v>
      </c>
      <c r="D300" s="8">
        <v>80</v>
      </c>
      <c r="E300" s="8">
        <f t="shared" si="29"/>
        <v>0.4</v>
      </c>
      <c r="H300" s="8"/>
      <c r="J300" s="40"/>
    </row>
    <row r="301" spans="1:10" x14ac:dyDescent="0.35">
      <c r="A301" s="18"/>
      <c r="B301" s="13"/>
      <c r="C301" s="7"/>
      <c r="D301" s="8"/>
      <c r="E301" s="8"/>
      <c r="H301" s="8"/>
      <c r="J301" s="40"/>
    </row>
    <row r="302" spans="1:10" x14ac:dyDescent="0.35">
      <c r="A302" s="18"/>
      <c r="B302" s="13"/>
      <c r="C302" s="7"/>
      <c r="D302" s="8"/>
      <c r="E302" s="8"/>
      <c r="H302" s="8"/>
      <c r="J302" s="40"/>
    </row>
    <row r="303" spans="1:10" x14ac:dyDescent="0.35">
      <c r="A303" s="18"/>
      <c r="B303" s="13"/>
      <c r="C303" s="7"/>
      <c r="D303" s="8"/>
      <c r="E303" s="8"/>
      <c r="H303" s="8"/>
      <c r="J303" s="40"/>
    </row>
    <row r="304" spans="1:10" x14ac:dyDescent="0.35">
      <c r="A304" s="18"/>
      <c r="C304" s="19"/>
      <c r="D304" s="8"/>
      <c r="E304" s="20">
        <f>SUM(E293:E303)</f>
        <v>43.860000000000014</v>
      </c>
      <c r="H304" s="8"/>
      <c r="J304" s="40"/>
    </row>
    <row r="305" spans="1:10" x14ac:dyDescent="0.35">
      <c r="A305" s="18"/>
      <c r="C305" s="25"/>
      <c r="D305" s="8"/>
      <c r="E305" s="8"/>
      <c r="H305" s="8"/>
      <c r="J305" s="40"/>
    </row>
    <row r="306" spans="1:10" x14ac:dyDescent="0.35">
      <c r="J306" s="40"/>
    </row>
    <row r="307" spans="1:10" ht="18" x14ac:dyDescent="0.3">
      <c r="A307" s="12">
        <v>26</v>
      </c>
      <c r="B307" t="s">
        <v>1</v>
      </c>
      <c r="C307" s="7" t="s">
        <v>2</v>
      </c>
      <c r="D307" s="8" t="s">
        <v>3</v>
      </c>
      <c r="E307" s="8" t="s">
        <v>4</v>
      </c>
      <c r="F307" t="s">
        <v>5</v>
      </c>
      <c r="G307" t="s">
        <v>6</v>
      </c>
      <c r="H307" s="9" t="s">
        <v>7</v>
      </c>
      <c r="I307" s="10" t="s">
        <v>8</v>
      </c>
      <c r="J307" s="38" t="s">
        <v>137</v>
      </c>
    </row>
    <row r="308" spans="1:10" ht="18" x14ac:dyDescent="0.35">
      <c r="A308" s="17" t="s">
        <v>76</v>
      </c>
      <c r="B308" s="13" t="s">
        <v>68</v>
      </c>
      <c r="C308" s="7">
        <v>0.11</v>
      </c>
      <c r="D308" s="8">
        <v>185</v>
      </c>
      <c r="E308" s="8">
        <f t="shared" ref="E308:E315" si="30">C308*D308</f>
        <v>20.350000000000001</v>
      </c>
      <c r="F308" s="14">
        <f>E319</f>
        <v>75.86</v>
      </c>
      <c r="G308">
        <v>1</v>
      </c>
      <c r="H308" s="15">
        <f>F308/G308</f>
        <v>75.86</v>
      </c>
      <c r="I308" s="16">
        <v>140</v>
      </c>
      <c r="J308" s="40">
        <f t="shared" si="27"/>
        <v>54.185714285714283</v>
      </c>
    </row>
    <row r="309" spans="1:10" x14ac:dyDescent="0.35">
      <c r="B309" s="13" t="s">
        <v>77</v>
      </c>
      <c r="C309" s="7">
        <v>2</v>
      </c>
      <c r="D309" s="8">
        <v>25</v>
      </c>
      <c r="E309" s="8">
        <f t="shared" si="30"/>
        <v>50</v>
      </c>
      <c r="H309" s="8"/>
      <c r="J309" s="40"/>
    </row>
    <row r="310" spans="1:10" x14ac:dyDescent="0.35">
      <c r="A310" s="18"/>
      <c r="B310" s="13" t="s">
        <v>70</v>
      </c>
      <c r="C310" s="7">
        <v>1.4999999999999999E-2</v>
      </c>
      <c r="D310" s="8">
        <v>130</v>
      </c>
      <c r="E310" s="8">
        <f t="shared" si="30"/>
        <v>1.95</v>
      </c>
      <c r="H310" s="8"/>
      <c r="J310" s="40"/>
    </row>
    <row r="311" spans="1:10" x14ac:dyDescent="0.35">
      <c r="A311" s="18"/>
      <c r="B311" s="13" t="s">
        <v>71</v>
      </c>
      <c r="C311" s="7">
        <v>5.0000000000000001E-3</v>
      </c>
      <c r="D311" s="8">
        <v>118</v>
      </c>
      <c r="E311" s="8">
        <f t="shared" si="30"/>
        <v>0.59</v>
      </c>
      <c r="H311" s="8"/>
      <c r="J311" s="40"/>
    </row>
    <row r="312" spans="1:10" x14ac:dyDescent="0.35">
      <c r="A312" s="18"/>
      <c r="B312" s="13" t="s">
        <v>24</v>
      </c>
      <c r="C312" s="7">
        <v>0.03</v>
      </c>
      <c r="D312" s="8">
        <v>34</v>
      </c>
      <c r="E312" s="8">
        <f t="shared" si="30"/>
        <v>1.02</v>
      </c>
      <c r="H312" s="8"/>
      <c r="J312" s="40"/>
    </row>
    <row r="313" spans="1:10" x14ac:dyDescent="0.35">
      <c r="A313" s="18"/>
      <c r="B313" s="13" t="s">
        <v>72</v>
      </c>
      <c r="C313" s="7">
        <v>0.01</v>
      </c>
      <c r="D313" s="8">
        <v>60</v>
      </c>
      <c r="E313" s="8">
        <f t="shared" si="30"/>
        <v>0.6</v>
      </c>
      <c r="H313" s="8"/>
      <c r="J313" s="40"/>
    </row>
    <row r="314" spans="1:10" x14ac:dyDescent="0.35">
      <c r="A314" s="18"/>
      <c r="B314" s="13" t="s">
        <v>73</v>
      </c>
      <c r="C314" s="7">
        <v>0.01</v>
      </c>
      <c r="D314" s="8">
        <v>95</v>
      </c>
      <c r="E314" s="8">
        <f t="shared" si="30"/>
        <v>0.95000000000000007</v>
      </c>
      <c r="H314" s="8"/>
      <c r="J314" s="40"/>
    </row>
    <row r="315" spans="1:10" x14ac:dyDescent="0.35">
      <c r="A315" s="18"/>
      <c r="B315" s="13" t="s">
        <v>96</v>
      </c>
      <c r="C315" s="7">
        <v>5.0000000000000001E-3</v>
      </c>
      <c r="D315" s="8">
        <v>80</v>
      </c>
      <c r="E315" s="8">
        <f t="shared" si="30"/>
        <v>0.4</v>
      </c>
      <c r="H315" s="8"/>
      <c r="J315" s="40"/>
    </row>
    <row r="316" spans="1:10" x14ac:dyDescent="0.35">
      <c r="A316" s="18"/>
      <c r="B316" s="13"/>
      <c r="C316" s="7"/>
      <c r="D316" s="8"/>
      <c r="E316" s="8"/>
      <c r="H316" s="8"/>
      <c r="J316" s="40"/>
    </row>
    <row r="317" spans="1:10" x14ac:dyDescent="0.35">
      <c r="B317" s="13"/>
      <c r="C317" s="7"/>
      <c r="D317" s="8"/>
      <c r="E317" s="8"/>
      <c r="H317" s="8"/>
      <c r="J317" s="40"/>
    </row>
    <row r="318" spans="1:10" x14ac:dyDescent="0.35">
      <c r="B318" s="13"/>
      <c r="C318" s="7"/>
      <c r="D318" s="8"/>
      <c r="E318" s="8"/>
      <c r="H318" s="8"/>
      <c r="J318" s="40"/>
    </row>
    <row r="319" spans="1:10" x14ac:dyDescent="0.35">
      <c r="A319" s="6"/>
      <c r="C319" s="19"/>
      <c r="D319" s="8"/>
      <c r="E319" s="20">
        <f>SUM(E308:E318)</f>
        <v>75.86</v>
      </c>
      <c r="H319" s="8"/>
      <c r="J319" s="40"/>
    </row>
    <row r="320" spans="1:10" x14ac:dyDescent="0.35">
      <c r="A320" s="6"/>
      <c r="C320" s="25"/>
      <c r="D320" s="8"/>
      <c r="E320" s="8"/>
      <c r="H320" s="8"/>
      <c r="J320" s="40"/>
    </row>
    <row r="321" spans="1:10" s="5" customFormat="1" ht="21" x14ac:dyDescent="0.4">
      <c r="A321" s="1"/>
      <c r="B321" s="2" t="s">
        <v>78</v>
      </c>
      <c r="C321" s="3"/>
      <c r="D321" s="3"/>
      <c r="E321" s="3"/>
      <c r="F321" s="3"/>
      <c r="G321" s="3"/>
      <c r="H321" s="3"/>
      <c r="I321" s="4"/>
      <c r="J321" s="40"/>
    </row>
    <row r="322" spans="1:10" x14ac:dyDescent="0.35">
      <c r="A322" s="6"/>
      <c r="C322" s="25"/>
      <c r="D322" s="8"/>
      <c r="E322" s="8"/>
      <c r="H322" s="8"/>
      <c r="J322" s="40"/>
    </row>
    <row r="323" spans="1:10" ht="18" x14ac:dyDescent="0.3">
      <c r="A323" s="12">
        <v>36</v>
      </c>
      <c r="B323" t="s">
        <v>1</v>
      </c>
      <c r="C323" s="25"/>
      <c r="D323" s="8"/>
      <c r="E323" s="8"/>
      <c r="F323" t="s">
        <v>5</v>
      </c>
      <c r="G323" t="s">
        <v>6</v>
      </c>
      <c r="H323" s="9" t="s">
        <v>7</v>
      </c>
      <c r="I323" s="10" t="s">
        <v>8</v>
      </c>
      <c r="J323" s="38" t="s">
        <v>137</v>
      </c>
    </row>
    <row r="324" spans="1:10" ht="18" x14ac:dyDescent="0.35">
      <c r="A324" s="17" t="s">
        <v>79</v>
      </c>
      <c r="B324" s="13" t="s">
        <v>80</v>
      </c>
      <c r="C324" s="7">
        <v>6</v>
      </c>
      <c r="D324" s="8">
        <v>7.0000000000000007E-2</v>
      </c>
      <c r="E324" s="8">
        <f t="shared" ref="E324:E327" si="31">C324*D324</f>
        <v>0.42000000000000004</v>
      </c>
      <c r="F324" s="14">
        <f>E330</f>
        <v>11.92</v>
      </c>
      <c r="G324">
        <v>1</v>
      </c>
      <c r="H324" s="15">
        <f>F324/G324</f>
        <v>11.92</v>
      </c>
      <c r="I324" s="16">
        <v>50</v>
      </c>
      <c r="J324" s="40">
        <f t="shared" ref="J324:J365" si="32">H324/I324*100</f>
        <v>23.84</v>
      </c>
    </row>
    <row r="325" spans="1:10" x14ac:dyDescent="0.35">
      <c r="A325" s="18"/>
      <c r="B325" s="13" t="s">
        <v>81</v>
      </c>
      <c r="C325" s="7">
        <v>0.06</v>
      </c>
      <c r="D325" s="8">
        <v>31</v>
      </c>
      <c r="E325" s="8">
        <f t="shared" si="31"/>
        <v>1.8599999999999999</v>
      </c>
      <c r="H325" s="8"/>
      <c r="J325" s="40"/>
    </row>
    <row r="326" spans="1:10" x14ac:dyDescent="0.35">
      <c r="A326" s="18"/>
      <c r="B326" s="13" t="s">
        <v>82</v>
      </c>
      <c r="C326" s="7">
        <v>0.18</v>
      </c>
      <c r="D326" s="8">
        <v>48</v>
      </c>
      <c r="E326" s="8">
        <f t="shared" si="31"/>
        <v>8.64</v>
      </c>
      <c r="H326" s="8"/>
      <c r="J326" s="40"/>
    </row>
    <row r="327" spans="1:10" x14ac:dyDescent="0.35">
      <c r="A327" s="18"/>
      <c r="B327" s="13" t="s">
        <v>83</v>
      </c>
      <c r="C327" s="7">
        <v>1</v>
      </c>
      <c r="D327" s="8">
        <v>1</v>
      </c>
      <c r="E327" s="8">
        <f t="shared" si="31"/>
        <v>1</v>
      </c>
      <c r="H327" s="8"/>
      <c r="J327" s="40"/>
    </row>
    <row r="328" spans="1:10" x14ac:dyDescent="0.35">
      <c r="A328" s="18"/>
      <c r="B328" s="13"/>
      <c r="C328" s="7"/>
      <c r="D328" s="8"/>
      <c r="E328" s="8"/>
      <c r="H328" s="8"/>
      <c r="J328" s="40"/>
    </row>
    <row r="329" spans="1:10" x14ac:dyDescent="0.35">
      <c r="A329" s="18"/>
      <c r="B329" s="13"/>
      <c r="C329" s="7"/>
      <c r="D329" s="8"/>
      <c r="E329" s="8"/>
      <c r="H329" s="8"/>
      <c r="J329" s="40"/>
    </row>
    <row r="330" spans="1:10" x14ac:dyDescent="0.35">
      <c r="A330" s="18"/>
      <c r="C330" s="19"/>
      <c r="D330" s="8"/>
      <c r="E330" s="20">
        <f>SUM(E323:E329)</f>
        <v>11.92</v>
      </c>
      <c r="H330" s="8"/>
      <c r="J330" s="40"/>
    </row>
    <row r="331" spans="1:10" x14ac:dyDescent="0.35">
      <c r="J331" s="40"/>
    </row>
    <row r="332" spans="1:10" ht="18" x14ac:dyDescent="0.35">
      <c r="A332" s="12">
        <v>37</v>
      </c>
      <c r="J332" s="40"/>
    </row>
    <row r="333" spans="1:10" ht="18" x14ac:dyDescent="0.3">
      <c r="A333" s="17" t="s">
        <v>84</v>
      </c>
      <c r="B333" t="s">
        <v>1</v>
      </c>
      <c r="C333" s="7" t="s">
        <v>2</v>
      </c>
      <c r="D333" s="8" t="s">
        <v>3</v>
      </c>
      <c r="E333" s="8" t="s">
        <v>4</v>
      </c>
      <c r="F333" t="s">
        <v>5</v>
      </c>
      <c r="G333" t="s">
        <v>6</v>
      </c>
      <c r="H333" s="9" t="s">
        <v>7</v>
      </c>
      <c r="I333" s="10" t="s">
        <v>8</v>
      </c>
      <c r="J333" s="38" t="s">
        <v>137</v>
      </c>
    </row>
    <row r="334" spans="1:10" x14ac:dyDescent="0.35">
      <c r="B334" s="13" t="s">
        <v>85</v>
      </c>
      <c r="C334" s="7">
        <v>5</v>
      </c>
      <c r="D334" s="8">
        <v>1.4</v>
      </c>
      <c r="E334" s="8">
        <f t="shared" ref="E334:E341" si="33">C334*D334</f>
        <v>7</v>
      </c>
      <c r="F334" s="14">
        <f>E345</f>
        <v>26.819999999999997</v>
      </c>
      <c r="G334">
        <v>1</v>
      </c>
      <c r="H334" s="15">
        <f>F334/G334</f>
        <v>26.819999999999997</v>
      </c>
      <c r="I334" s="16">
        <v>80</v>
      </c>
      <c r="J334" s="40">
        <f t="shared" si="32"/>
        <v>33.524999999999991</v>
      </c>
    </row>
    <row r="335" spans="1:10" x14ac:dyDescent="0.35">
      <c r="B335" s="13" t="s">
        <v>11</v>
      </c>
      <c r="C335" s="7">
        <v>0.17</v>
      </c>
      <c r="D335" s="8">
        <v>85</v>
      </c>
      <c r="E335" s="8">
        <f t="shared" si="33"/>
        <v>14.450000000000001</v>
      </c>
      <c r="H335" s="8"/>
      <c r="J335" s="40"/>
    </row>
    <row r="336" spans="1:10" x14ac:dyDescent="0.35">
      <c r="A336" s="18"/>
      <c r="B336" s="13" t="s">
        <v>81</v>
      </c>
      <c r="C336" s="7">
        <v>3.6999999999999998E-2</v>
      </c>
      <c r="D336" s="8">
        <v>48</v>
      </c>
      <c r="E336" s="8">
        <f t="shared" si="33"/>
        <v>1.7759999999999998</v>
      </c>
      <c r="H336" s="8"/>
      <c r="J336" s="40"/>
    </row>
    <row r="337" spans="1:10" x14ac:dyDescent="0.35">
      <c r="A337" s="18"/>
      <c r="B337" s="13" t="s">
        <v>12</v>
      </c>
      <c r="C337" s="7">
        <v>1.7999999999999999E-2</v>
      </c>
      <c r="D337" s="8">
        <v>60</v>
      </c>
      <c r="E337" s="8">
        <f t="shared" si="33"/>
        <v>1.0799999999999998</v>
      </c>
      <c r="H337" s="8"/>
      <c r="J337" s="40"/>
    </row>
    <row r="338" spans="1:10" x14ac:dyDescent="0.35">
      <c r="A338" s="18"/>
      <c r="B338" s="13" t="s">
        <v>13</v>
      </c>
      <c r="C338" s="7">
        <v>5.0000000000000001E-3</v>
      </c>
      <c r="D338" s="8">
        <v>118</v>
      </c>
      <c r="E338" s="8">
        <f t="shared" si="33"/>
        <v>0.59</v>
      </c>
      <c r="H338" s="8"/>
      <c r="J338" s="40"/>
    </row>
    <row r="339" spans="1:10" x14ac:dyDescent="0.35">
      <c r="A339" s="18"/>
      <c r="B339" s="13" t="s">
        <v>86</v>
      </c>
      <c r="C339" s="7">
        <v>1E-3</v>
      </c>
      <c r="D339" s="8">
        <v>644</v>
      </c>
      <c r="E339" s="8">
        <f t="shared" si="33"/>
        <v>0.64400000000000002</v>
      </c>
      <c r="H339" s="8"/>
      <c r="J339" s="40"/>
    </row>
    <row r="340" spans="1:10" x14ac:dyDescent="0.35">
      <c r="A340" s="18"/>
      <c r="B340" s="13" t="s">
        <v>31</v>
      </c>
      <c r="C340" s="7">
        <v>4.0000000000000001E-3</v>
      </c>
      <c r="D340" s="8">
        <v>220</v>
      </c>
      <c r="E340" s="8">
        <f t="shared" si="33"/>
        <v>0.88</v>
      </c>
      <c r="H340" s="8"/>
      <c r="J340" s="40"/>
    </row>
    <row r="341" spans="1:10" x14ac:dyDescent="0.35">
      <c r="A341" s="18"/>
      <c r="B341" s="13" t="s">
        <v>88</v>
      </c>
      <c r="C341" s="7">
        <v>5.0000000000000001E-3</v>
      </c>
      <c r="D341" s="8">
        <v>80</v>
      </c>
      <c r="E341" s="8">
        <f t="shared" si="33"/>
        <v>0.4</v>
      </c>
      <c r="H341" s="8"/>
      <c r="J341" s="40"/>
    </row>
    <row r="342" spans="1:10" x14ac:dyDescent="0.35">
      <c r="A342" s="18"/>
      <c r="B342" s="13"/>
      <c r="C342" s="7"/>
      <c r="D342" s="8"/>
      <c r="E342" s="8"/>
      <c r="H342" s="8"/>
      <c r="J342" s="40"/>
    </row>
    <row r="343" spans="1:10" x14ac:dyDescent="0.35">
      <c r="A343" s="18"/>
      <c r="B343" s="13"/>
      <c r="C343" s="7"/>
      <c r="D343" s="8"/>
      <c r="E343" s="8"/>
      <c r="H343" s="8"/>
      <c r="J343" s="40"/>
    </row>
    <row r="344" spans="1:10" x14ac:dyDescent="0.35">
      <c r="A344" s="18"/>
      <c r="B344" s="13"/>
      <c r="C344" s="7"/>
      <c r="D344" s="8"/>
      <c r="E344" s="8"/>
      <c r="H344" s="8"/>
      <c r="J344" s="40"/>
    </row>
    <row r="345" spans="1:10" x14ac:dyDescent="0.35">
      <c r="A345" s="18"/>
      <c r="C345" s="19"/>
      <c r="D345" s="8"/>
      <c r="E345" s="20">
        <f>SUM(E334:E344)</f>
        <v>26.819999999999997</v>
      </c>
      <c r="H345" s="8"/>
      <c r="J345" s="40"/>
    </row>
    <row r="346" spans="1:10" x14ac:dyDescent="0.35">
      <c r="J346" s="40"/>
    </row>
    <row r="347" spans="1:10" x14ac:dyDescent="0.35">
      <c r="J347" s="40"/>
    </row>
    <row r="348" spans="1:10" ht="18" x14ac:dyDescent="0.3">
      <c r="A348" s="12">
        <v>38</v>
      </c>
      <c r="B348" t="s">
        <v>1</v>
      </c>
      <c r="C348" s="7" t="s">
        <v>2</v>
      </c>
      <c r="D348" s="8" t="s">
        <v>3</v>
      </c>
      <c r="E348" s="8" t="s">
        <v>4</v>
      </c>
      <c r="F348" t="s">
        <v>5</v>
      </c>
      <c r="G348" t="s">
        <v>6</v>
      </c>
      <c r="H348" s="9" t="s">
        <v>7</v>
      </c>
      <c r="I348" s="10" t="s">
        <v>8</v>
      </c>
      <c r="J348" s="38" t="s">
        <v>137</v>
      </c>
    </row>
    <row r="349" spans="1:10" ht="18" x14ac:dyDescent="0.35">
      <c r="A349" s="17" t="s">
        <v>90</v>
      </c>
      <c r="B349" s="13" t="s">
        <v>91</v>
      </c>
      <c r="C349" s="7">
        <v>6</v>
      </c>
      <c r="D349" s="8">
        <v>0.7</v>
      </c>
      <c r="E349" s="8">
        <f t="shared" ref="E349:E358" si="34">C349*D349</f>
        <v>4.1999999999999993</v>
      </c>
      <c r="F349" s="14">
        <f>E361</f>
        <v>19.119999999999994</v>
      </c>
      <c r="G349">
        <v>1</v>
      </c>
      <c r="H349" s="15">
        <f>F349/G349</f>
        <v>19.119999999999994</v>
      </c>
      <c r="I349" s="16">
        <v>60</v>
      </c>
      <c r="J349" s="40">
        <f t="shared" si="32"/>
        <v>31.866666666666653</v>
      </c>
    </row>
    <row r="350" spans="1:10" x14ac:dyDescent="0.35">
      <c r="B350" s="13" t="s">
        <v>81</v>
      </c>
      <c r="C350" s="7">
        <v>4.2000000000000003E-2</v>
      </c>
      <c r="D350" s="8">
        <v>48</v>
      </c>
      <c r="E350" s="8">
        <f t="shared" si="34"/>
        <v>2.016</v>
      </c>
      <c r="H350" s="8"/>
      <c r="J350" s="40"/>
    </row>
    <row r="351" spans="1:10" x14ac:dyDescent="0.35">
      <c r="A351" s="18"/>
      <c r="B351" s="13" t="s">
        <v>12</v>
      </c>
      <c r="C351" s="7">
        <v>2.1000000000000001E-2</v>
      </c>
      <c r="D351" s="8">
        <v>60</v>
      </c>
      <c r="E351" s="8">
        <f t="shared" si="34"/>
        <v>1.26</v>
      </c>
      <c r="H351" s="8"/>
      <c r="J351" s="40"/>
    </row>
    <row r="352" spans="1:10" x14ac:dyDescent="0.35">
      <c r="A352" s="18"/>
      <c r="B352" s="13" t="s">
        <v>13</v>
      </c>
      <c r="C352" s="7">
        <v>0.01</v>
      </c>
      <c r="D352" s="8">
        <v>118</v>
      </c>
      <c r="E352" s="8">
        <f t="shared" si="34"/>
        <v>1.18</v>
      </c>
      <c r="H352" s="8"/>
      <c r="J352" s="40"/>
    </row>
    <row r="353" spans="1:10" x14ac:dyDescent="0.35">
      <c r="A353" s="18"/>
      <c r="B353" s="13" t="s">
        <v>92</v>
      </c>
      <c r="C353" s="7">
        <v>0.01</v>
      </c>
      <c r="D353" s="8">
        <v>240</v>
      </c>
      <c r="E353" s="8">
        <f t="shared" si="34"/>
        <v>2.4</v>
      </c>
      <c r="H353" s="8"/>
      <c r="J353" s="40"/>
    </row>
    <row r="354" spans="1:10" x14ac:dyDescent="0.35">
      <c r="A354" s="18"/>
      <c r="B354" s="13" t="s">
        <v>31</v>
      </c>
      <c r="C354" s="7">
        <v>2.5000000000000001E-2</v>
      </c>
      <c r="D354" s="8">
        <v>220</v>
      </c>
      <c r="E354" s="8">
        <f t="shared" si="34"/>
        <v>5.5</v>
      </c>
      <c r="H354" s="8"/>
      <c r="J354" s="40"/>
    </row>
    <row r="355" spans="1:10" x14ac:dyDescent="0.35">
      <c r="A355" s="18"/>
      <c r="B355" s="13" t="s">
        <v>93</v>
      </c>
      <c r="C355" s="7">
        <v>0.02</v>
      </c>
      <c r="D355" s="8">
        <v>34</v>
      </c>
      <c r="E355" s="8">
        <f t="shared" si="34"/>
        <v>0.68</v>
      </c>
      <c r="H355" s="8"/>
      <c r="J355" s="40"/>
    </row>
    <row r="356" spans="1:10" x14ac:dyDescent="0.35">
      <c r="A356" s="18"/>
      <c r="B356" s="13" t="s">
        <v>94</v>
      </c>
      <c r="C356" s="7">
        <v>1.7999999999999999E-2</v>
      </c>
      <c r="D356" s="8">
        <v>60</v>
      </c>
      <c r="E356" s="8">
        <f t="shared" si="34"/>
        <v>1.0799999999999998</v>
      </c>
      <c r="H356" s="8"/>
      <c r="J356" s="40"/>
    </row>
    <row r="357" spans="1:10" x14ac:dyDescent="0.35">
      <c r="A357" s="18"/>
      <c r="B357" s="13" t="s">
        <v>86</v>
      </c>
      <c r="C357" s="7">
        <v>1E-3</v>
      </c>
      <c r="D357" s="8">
        <v>644</v>
      </c>
      <c r="E357" s="8">
        <f t="shared" si="34"/>
        <v>0.64400000000000002</v>
      </c>
      <c r="H357" s="8"/>
      <c r="J357" s="40"/>
    </row>
    <row r="358" spans="1:10" x14ac:dyDescent="0.35">
      <c r="A358" s="18"/>
      <c r="B358" s="13" t="s">
        <v>96</v>
      </c>
      <c r="C358" s="7">
        <v>2E-3</v>
      </c>
      <c r="D358" s="8">
        <v>80</v>
      </c>
      <c r="E358" s="8">
        <f t="shared" si="34"/>
        <v>0.16</v>
      </c>
      <c r="H358" s="8"/>
      <c r="J358" s="40"/>
    </row>
    <row r="359" spans="1:10" x14ac:dyDescent="0.35">
      <c r="A359" s="18"/>
      <c r="B359" s="13"/>
      <c r="C359" s="7"/>
      <c r="D359" s="8"/>
      <c r="E359" s="8"/>
      <c r="H359" s="8"/>
      <c r="J359" s="40"/>
    </row>
    <row r="360" spans="1:10" x14ac:dyDescent="0.35">
      <c r="A360" s="18"/>
      <c r="B360" s="13"/>
      <c r="C360" s="7"/>
      <c r="D360" s="8"/>
      <c r="E360" s="8"/>
      <c r="H360" s="8"/>
      <c r="J360" s="40"/>
    </row>
    <row r="361" spans="1:10" x14ac:dyDescent="0.35">
      <c r="A361" s="18"/>
      <c r="C361" s="19"/>
      <c r="D361" s="8"/>
      <c r="E361" s="20">
        <f>SUM(E349:E360)</f>
        <v>19.119999999999994</v>
      </c>
      <c r="H361" s="8"/>
      <c r="J361" s="40"/>
    </row>
    <row r="362" spans="1:10" x14ac:dyDescent="0.35">
      <c r="J362" s="40"/>
    </row>
    <row r="363" spans="1:10" x14ac:dyDescent="0.35">
      <c r="J363" s="40"/>
    </row>
    <row r="364" spans="1:10" ht="15.6" x14ac:dyDescent="0.3">
      <c r="A364" s="6"/>
      <c r="B364" t="s">
        <v>1</v>
      </c>
      <c r="C364" s="7" t="s">
        <v>2</v>
      </c>
      <c r="D364" s="8" t="s">
        <v>3</v>
      </c>
      <c r="E364" s="8" t="s">
        <v>4</v>
      </c>
      <c r="F364" t="s">
        <v>5</v>
      </c>
      <c r="G364" t="s">
        <v>6</v>
      </c>
      <c r="H364" s="9" t="s">
        <v>7</v>
      </c>
      <c r="I364" s="10" t="s">
        <v>8</v>
      </c>
      <c r="J364" s="38" t="s">
        <v>137</v>
      </c>
    </row>
    <row r="365" spans="1:10" ht="18" x14ac:dyDescent="0.35">
      <c r="A365" s="12">
        <v>39</v>
      </c>
      <c r="B365" s="13" t="s">
        <v>91</v>
      </c>
      <c r="C365" s="7">
        <v>7</v>
      </c>
      <c r="D365" s="8">
        <v>0.7</v>
      </c>
      <c r="E365" s="8">
        <f t="shared" ref="E365:E373" si="35">C365*D365</f>
        <v>4.8999999999999995</v>
      </c>
      <c r="F365" s="14">
        <f>E377</f>
        <v>25.382999999999999</v>
      </c>
      <c r="G365">
        <v>1</v>
      </c>
      <c r="H365" s="15">
        <f>F365/G365</f>
        <v>25.382999999999999</v>
      </c>
      <c r="I365" s="16">
        <v>90</v>
      </c>
      <c r="J365" s="40">
        <f t="shared" si="32"/>
        <v>28.20333333333333</v>
      </c>
    </row>
    <row r="366" spans="1:10" ht="18" x14ac:dyDescent="0.35">
      <c r="A366" s="17" t="s">
        <v>97</v>
      </c>
      <c r="B366" s="13" t="s">
        <v>98</v>
      </c>
      <c r="C366" s="7">
        <v>2.5000000000000001E-2</v>
      </c>
      <c r="D366" s="8">
        <v>23</v>
      </c>
      <c r="E366" s="8">
        <f t="shared" si="35"/>
        <v>0.57500000000000007</v>
      </c>
      <c r="H366" s="8"/>
      <c r="J366" s="40"/>
    </row>
    <row r="367" spans="1:10" ht="18" x14ac:dyDescent="0.35">
      <c r="A367" s="17"/>
      <c r="B367" s="13" t="s">
        <v>11</v>
      </c>
      <c r="C367" s="7">
        <v>0.17</v>
      </c>
      <c r="D367" s="8">
        <v>85</v>
      </c>
      <c r="E367" s="8">
        <f t="shared" si="35"/>
        <v>14.450000000000001</v>
      </c>
      <c r="H367" s="8"/>
      <c r="J367" s="40"/>
    </row>
    <row r="368" spans="1:10" x14ac:dyDescent="0.35">
      <c r="A368" s="18"/>
      <c r="B368" s="13" t="s">
        <v>12</v>
      </c>
      <c r="C368" s="7">
        <v>2.1000000000000001E-2</v>
      </c>
      <c r="D368" s="8">
        <v>60</v>
      </c>
      <c r="E368" s="8">
        <f t="shared" si="35"/>
        <v>1.26</v>
      </c>
      <c r="H368" s="8"/>
      <c r="J368" s="40"/>
    </row>
    <row r="369" spans="1:10" x14ac:dyDescent="0.35">
      <c r="A369" s="18"/>
      <c r="B369" s="13" t="s">
        <v>13</v>
      </c>
      <c r="C369" s="7">
        <v>1.2999999999999999E-2</v>
      </c>
      <c r="D369" s="8">
        <v>118</v>
      </c>
      <c r="E369" s="8">
        <f t="shared" si="35"/>
        <v>1.534</v>
      </c>
      <c r="H369" s="8"/>
      <c r="J369" s="40"/>
    </row>
    <row r="370" spans="1:10" x14ac:dyDescent="0.35">
      <c r="A370" s="18"/>
      <c r="B370" s="13" t="s">
        <v>31</v>
      </c>
      <c r="C370" s="7">
        <v>6.0000000000000001E-3</v>
      </c>
      <c r="D370" s="8">
        <v>220</v>
      </c>
      <c r="E370" s="8">
        <f t="shared" si="35"/>
        <v>1.32</v>
      </c>
      <c r="H370" s="8"/>
      <c r="J370" s="40"/>
    </row>
    <row r="371" spans="1:10" x14ac:dyDescent="0.35">
      <c r="A371" s="18"/>
      <c r="B371" s="13" t="s">
        <v>86</v>
      </c>
      <c r="C371" s="7">
        <v>1E-3</v>
      </c>
      <c r="D371" s="8">
        <v>644</v>
      </c>
      <c r="E371" s="8">
        <f t="shared" si="35"/>
        <v>0.64400000000000002</v>
      </c>
      <c r="H371" s="8"/>
      <c r="J371" s="40"/>
    </row>
    <row r="372" spans="1:10" x14ac:dyDescent="0.35">
      <c r="B372" s="13" t="s">
        <v>95</v>
      </c>
      <c r="C372" s="7">
        <v>3.0000000000000001E-3</v>
      </c>
      <c r="D372" s="8">
        <v>180</v>
      </c>
      <c r="E372" s="8">
        <f t="shared" si="35"/>
        <v>0.54</v>
      </c>
      <c r="H372" s="8"/>
      <c r="J372" s="40"/>
    </row>
    <row r="373" spans="1:10" x14ac:dyDescent="0.35">
      <c r="B373" s="13" t="s">
        <v>14</v>
      </c>
      <c r="C373" s="7">
        <v>2E-3</v>
      </c>
      <c r="D373" s="8">
        <v>80</v>
      </c>
      <c r="E373" s="8">
        <f t="shared" si="35"/>
        <v>0.16</v>
      </c>
      <c r="H373" s="8"/>
      <c r="J373" s="40"/>
    </row>
    <row r="374" spans="1:10" x14ac:dyDescent="0.35">
      <c r="A374" s="18"/>
      <c r="B374" s="13"/>
      <c r="C374" s="7"/>
      <c r="D374" s="8"/>
      <c r="E374" s="8"/>
      <c r="H374" s="8"/>
      <c r="J374" s="40"/>
    </row>
    <row r="375" spans="1:10" x14ac:dyDescent="0.35">
      <c r="A375" s="6"/>
      <c r="B375" s="13"/>
      <c r="C375" s="7"/>
      <c r="D375" s="8"/>
      <c r="E375" s="8"/>
      <c r="H375" s="8"/>
      <c r="J375" s="40"/>
    </row>
    <row r="376" spans="1:10" x14ac:dyDescent="0.35">
      <c r="B376" s="13"/>
      <c r="C376" s="7"/>
      <c r="D376" s="8"/>
      <c r="E376" s="8"/>
      <c r="H376" s="8"/>
      <c r="J376" s="40"/>
    </row>
    <row r="377" spans="1:10" ht="18" x14ac:dyDescent="0.35">
      <c r="A377" s="12"/>
      <c r="B377" s="13"/>
      <c r="C377" s="19"/>
      <c r="D377" s="8"/>
      <c r="E377" s="20">
        <f>SUM(E365:E376)</f>
        <v>25.382999999999999</v>
      </c>
      <c r="H377" s="8"/>
      <c r="J377" s="40"/>
    </row>
    <row r="378" spans="1:10" ht="18" x14ac:dyDescent="0.35">
      <c r="A378" s="12"/>
      <c r="B378" s="13"/>
      <c r="C378" s="7"/>
      <c r="D378" s="8"/>
      <c r="E378" s="8"/>
      <c r="H378" s="8"/>
      <c r="J378" s="40"/>
    </row>
    <row r="379" spans="1:10" ht="18" x14ac:dyDescent="0.3">
      <c r="A379" s="12">
        <v>40</v>
      </c>
      <c r="B379" t="s">
        <v>1</v>
      </c>
      <c r="C379" s="7" t="s">
        <v>2</v>
      </c>
      <c r="D379" s="8" t="s">
        <v>3</v>
      </c>
      <c r="E379" s="8" t="s">
        <v>4</v>
      </c>
      <c r="F379" t="s">
        <v>5</v>
      </c>
      <c r="G379" t="s">
        <v>6</v>
      </c>
      <c r="H379" s="9" t="s">
        <v>7</v>
      </c>
      <c r="I379" s="10" t="s">
        <v>8</v>
      </c>
      <c r="J379" s="38" t="s">
        <v>137</v>
      </c>
    </row>
    <row r="380" spans="1:10" ht="18" x14ac:dyDescent="0.35">
      <c r="A380" s="17" t="s">
        <v>100</v>
      </c>
      <c r="B380" s="13" t="s">
        <v>101</v>
      </c>
      <c r="C380" s="7">
        <v>1</v>
      </c>
      <c r="D380" s="8">
        <v>3.3</v>
      </c>
      <c r="E380" s="8">
        <f>C380*D380</f>
        <v>3.3</v>
      </c>
      <c r="F380" s="14">
        <f>E392</f>
        <v>20.044999999999998</v>
      </c>
      <c r="G380">
        <v>1</v>
      </c>
      <c r="H380" s="15">
        <f>F380/G380</f>
        <v>20.044999999999998</v>
      </c>
      <c r="I380" s="16">
        <v>110</v>
      </c>
      <c r="J380" s="40">
        <f t="shared" ref="J380:J424" si="36">H380/I380*100</f>
        <v>18.222727272727273</v>
      </c>
    </row>
    <row r="381" spans="1:10" ht="18" x14ac:dyDescent="0.35">
      <c r="A381" s="12"/>
      <c r="B381" s="13" t="s">
        <v>91</v>
      </c>
      <c r="C381" s="7">
        <v>4</v>
      </c>
      <c r="D381" s="8">
        <v>0.7</v>
      </c>
      <c r="E381" s="8">
        <f t="shared" ref="E381:E388" si="37">C381*D381</f>
        <v>2.8</v>
      </c>
      <c r="J381" s="40"/>
    </row>
    <row r="382" spans="1:10" ht="18" x14ac:dyDescent="0.35">
      <c r="A382" s="17"/>
      <c r="B382" s="13" t="s">
        <v>98</v>
      </c>
      <c r="C382" s="7">
        <v>2.5000000000000001E-2</v>
      </c>
      <c r="D382" s="8">
        <v>23</v>
      </c>
      <c r="E382" s="8">
        <f t="shared" si="37"/>
        <v>0.57500000000000007</v>
      </c>
      <c r="H382" s="8"/>
      <c r="J382" s="40"/>
    </row>
    <row r="383" spans="1:10" ht="18" x14ac:dyDescent="0.35">
      <c r="A383" s="17"/>
      <c r="B383" s="13" t="s">
        <v>11</v>
      </c>
      <c r="C383" s="7">
        <v>0.16</v>
      </c>
      <c r="D383" s="8">
        <v>85</v>
      </c>
      <c r="E383" s="8">
        <f t="shared" si="37"/>
        <v>13.6</v>
      </c>
      <c r="H383" s="8"/>
      <c r="J383" s="40"/>
    </row>
    <row r="384" spans="1:10" x14ac:dyDescent="0.35">
      <c r="A384" s="18"/>
      <c r="B384" s="13" t="s">
        <v>12</v>
      </c>
      <c r="C384" s="7">
        <v>1.4999999999999999E-2</v>
      </c>
      <c r="D384" s="8">
        <v>60</v>
      </c>
      <c r="E384" s="8">
        <f t="shared" si="37"/>
        <v>0.89999999999999991</v>
      </c>
      <c r="H384" s="8"/>
      <c r="J384" s="40"/>
    </row>
    <row r="385" spans="1:10" x14ac:dyDescent="0.35">
      <c r="A385" s="18"/>
      <c r="B385" s="13" t="s">
        <v>13</v>
      </c>
      <c r="C385" s="7">
        <v>7.0000000000000001E-3</v>
      </c>
      <c r="D385" s="8">
        <v>118</v>
      </c>
      <c r="E385" s="8">
        <f t="shared" si="37"/>
        <v>0.82600000000000007</v>
      </c>
      <c r="H385" s="8"/>
      <c r="J385" s="40"/>
    </row>
    <row r="386" spans="1:10" x14ac:dyDescent="0.35">
      <c r="A386" s="18"/>
      <c r="B386" s="13" t="s">
        <v>86</v>
      </c>
      <c r="C386" s="7">
        <v>1E-3</v>
      </c>
      <c r="D386" s="8">
        <v>644</v>
      </c>
      <c r="E386" s="8">
        <f t="shared" si="37"/>
        <v>0.64400000000000002</v>
      </c>
      <c r="H386" s="8"/>
      <c r="J386" s="40"/>
    </row>
    <row r="387" spans="1:10" x14ac:dyDescent="0.35">
      <c r="B387" s="13" t="s">
        <v>95</v>
      </c>
      <c r="C387" s="7">
        <v>3.0000000000000001E-3</v>
      </c>
      <c r="D387" s="8">
        <v>180</v>
      </c>
      <c r="E387" s="8">
        <f t="shared" si="37"/>
        <v>0.54</v>
      </c>
      <c r="H387" s="8"/>
      <c r="J387" s="40"/>
    </row>
    <row r="388" spans="1:10" x14ac:dyDescent="0.35">
      <c r="B388" s="13" t="s">
        <v>14</v>
      </c>
      <c r="C388" s="7">
        <v>2E-3</v>
      </c>
      <c r="D388" s="8">
        <v>80</v>
      </c>
      <c r="E388" s="8">
        <f t="shared" si="37"/>
        <v>0.16</v>
      </c>
      <c r="H388" s="8"/>
      <c r="J388" s="40"/>
    </row>
    <row r="389" spans="1:10" x14ac:dyDescent="0.35">
      <c r="A389" s="18"/>
      <c r="B389" s="13"/>
      <c r="C389" s="7"/>
      <c r="D389" s="8"/>
      <c r="E389" s="8"/>
      <c r="H389" s="8"/>
      <c r="J389" s="40"/>
    </row>
    <row r="390" spans="1:10" x14ac:dyDescent="0.35">
      <c r="A390" s="6"/>
      <c r="B390" s="13"/>
      <c r="C390" s="7"/>
      <c r="D390" s="8"/>
      <c r="E390" s="8"/>
      <c r="H390" s="8"/>
      <c r="J390" s="40"/>
    </row>
    <row r="391" spans="1:10" x14ac:dyDescent="0.35">
      <c r="B391" s="13"/>
      <c r="C391" s="7"/>
      <c r="D391" s="8"/>
      <c r="E391" s="8"/>
      <c r="H391" s="8"/>
      <c r="J391" s="40"/>
    </row>
    <row r="392" spans="1:10" ht="18" x14ac:dyDescent="0.35">
      <c r="A392" s="12"/>
      <c r="B392" s="13"/>
      <c r="C392" s="19"/>
      <c r="D392" s="8"/>
      <c r="E392" s="20">
        <f>SUM(E381:E391)</f>
        <v>20.044999999999998</v>
      </c>
      <c r="H392" s="8"/>
      <c r="J392" s="40"/>
    </row>
    <row r="393" spans="1:10" ht="18" x14ac:dyDescent="0.35">
      <c r="A393" s="12"/>
      <c r="B393" s="13"/>
      <c r="C393" s="7"/>
      <c r="D393" s="8"/>
      <c r="E393" s="8"/>
      <c r="H393" s="8"/>
      <c r="J393" s="40"/>
    </row>
    <row r="394" spans="1:10" ht="18" x14ac:dyDescent="0.3">
      <c r="A394" s="12">
        <v>41</v>
      </c>
      <c r="B394" t="s">
        <v>1</v>
      </c>
      <c r="C394" s="7" t="s">
        <v>2</v>
      </c>
      <c r="D394" s="8" t="s">
        <v>3</v>
      </c>
      <c r="E394" s="8" t="s">
        <v>4</v>
      </c>
      <c r="F394" t="s">
        <v>5</v>
      </c>
      <c r="G394" t="s">
        <v>6</v>
      </c>
      <c r="H394" s="9" t="s">
        <v>7</v>
      </c>
      <c r="I394" s="10" t="s">
        <v>8</v>
      </c>
      <c r="J394" s="38" t="s">
        <v>137</v>
      </c>
    </row>
    <row r="395" spans="1:10" ht="18" x14ac:dyDescent="0.35">
      <c r="A395" s="17" t="s">
        <v>102</v>
      </c>
      <c r="B395" s="13" t="s">
        <v>101</v>
      </c>
      <c r="C395" s="7">
        <v>2</v>
      </c>
      <c r="D395" s="8">
        <v>3.3</v>
      </c>
      <c r="E395" s="8">
        <f>C395*D395</f>
        <v>6.6</v>
      </c>
      <c r="F395" s="14">
        <f>E406</f>
        <v>14.563000000000001</v>
      </c>
      <c r="G395">
        <v>1</v>
      </c>
      <c r="H395" s="15">
        <f>F395/G395</f>
        <v>14.563000000000001</v>
      </c>
      <c r="I395" s="16">
        <v>130</v>
      </c>
      <c r="J395" s="40">
        <f t="shared" si="36"/>
        <v>11.202307692307693</v>
      </c>
    </row>
    <row r="396" spans="1:10" ht="18" x14ac:dyDescent="0.35">
      <c r="A396" s="17"/>
      <c r="B396" s="13" t="s">
        <v>98</v>
      </c>
      <c r="C396" s="7">
        <v>2.5000000000000001E-2</v>
      </c>
      <c r="D396" s="8">
        <v>23</v>
      </c>
      <c r="E396" s="8">
        <f t="shared" ref="E396:E402" si="38">C396*D396</f>
        <v>0.57500000000000007</v>
      </c>
      <c r="H396" s="8"/>
      <c r="J396" s="40"/>
    </row>
    <row r="397" spans="1:10" ht="18" x14ac:dyDescent="0.35">
      <c r="A397" s="17"/>
      <c r="B397" s="13" t="s">
        <v>11</v>
      </c>
      <c r="C397" s="7">
        <v>0.12</v>
      </c>
      <c r="D397" s="8">
        <v>85</v>
      </c>
      <c r="E397" s="8">
        <f t="shared" si="38"/>
        <v>10.199999999999999</v>
      </c>
      <c r="H397" s="8"/>
      <c r="J397" s="40"/>
    </row>
    <row r="398" spans="1:10" x14ac:dyDescent="0.35">
      <c r="A398" s="18"/>
      <c r="B398" s="13" t="s">
        <v>12</v>
      </c>
      <c r="C398" s="7">
        <v>1.4999999999999999E-2</v>
      </c>
      <c r="D398" s="8">
        <v>60</v>
      </c>
      <c r="E398" s="8">
        <f t="shared" si="38"/>
        <v>0.89999999999999991</v>
      </c>
      <c r="H398" s="8"/>
      <c r="J398" s="40"/>
    </row>
    <row r="399" spans="1:10" x14ac:dyDescent="0.35">
      <c r="A399" s="18"/>
      <c r="B399" s="13" t="s">
        <v>13</v>
      </c>
      <c r="C399" s="7">
        <v>8.0000000000000002E-3</v>
      </c>
      <c r="D399" s="8">
        <v>118</v>
      </c>
      <c r="E399" s="8">
        <f t="shared" si="38"/>
        <v>0.94400000000000006</v>
      </c>
      <c r="H399" s="8"/>
      <c r="J399" s="40"/>
    </row>
    <row r="400" spans="1:10" x14ac:dyDescent="0.35">
      <c r="A400" s="18"/>
      <c r="B400" s="13" t="s">
        <v>86</v>
      </c>
      <c r="C400" s="7">
        <v>1E-3</v>
      </c>
      <c r="D400" s="8">
        <v>644</v>
      </c>
      <c r="E400" s="8">
        <f t="shared" si="38"/>
        <v>0.64400000000000002</v>
      </c>
      <c r="H400" s="8"/>
      <c r="J400" s="40"/>
    </row>
    <row r="401" spans="1:10" x14ac:dyDescent="0.35">
      <c r="B401" s="13" t="s">
        <v>95</v>
      </c>
      <c r="C401" s="7">
        <v>5.0000000000000001E-3</v>
      </c>
      <c r="D401" s="8">
        <v>180</v>
      </c>
      <c r="E401" s="8">
        <f t="shared" si="38"/>
        <v>0.9</v>
      </c>
      <c r="H401" s="8"/>
      <c r="J401" s="40"/>
    </row>
    <row r="402" spans="1:10" x14ac:dyDescent="0.35">
      <c r="B402" s="13" t="s">
        <v>14</v>
      </c>
      <c r="C402" s="7">
        <v>5.0000000000000001E-3</v>
      </c>
      <c r="D402" s="8">
        <v>80</v>
      </c>
      <c r="E402" s="8">
        <f t="shared" si="38"/>
        <v>0.4</v>
      </c>
      <c r="H402" s="8"/>
      <c r="J402" s="40"/>
    </row>
    <row r="403" spans="1:10" x14ac:dyDescent="0.35">
      <c r="A403" s="18"/>
      <c r="B403" s="13"/>
      <c r="C403" s="7"/>
      <c r="D403" s="8"/>
      <c r="E403" s="8"/>
      <c r="H403" s="8"/>
      <c r="J403" s="40"/>
    </row>
    <row r="404" spans="1:10" x14ac:dyDescent="0.35">
      <c r="A404" s="6"/>
      <c r="B404" s="13"/>
      <c r="C404" s="7"/>
      <c r="D404" s="8"/>
      <c r="E404" s="8"/>
      <c r="H404" s="8"/>
      <c r="J404" s="40"/>
    </row>
    <row r="405" spans="1:10" x14ac:dyDescent="0.35">
      <c r="B405" s="13"/>
      <c r="C405" s="7"/>
      <c r="D405" s="8"/>
      <c r="E405" s="8"/>
      <c r="H405" s="8"/>
      <c r="J405" s="40"/>
    </row>
    <row r="406" spans="1:10" ht="18" x14ac:dyDescent="0.35">
      <c r="A406" s="12"/>
      <c r="B406" s="13"/>
      <c r="C406" s="19"/>
      <c r="D406" s="8"/>
      <c r="E406" s="20">
        <f>SUM(E396:E405)</f>
        <v>14.563000000000001</v>
      </c>
      <c r="H406" s="8"/>
      <c r="J406" s="40"/>
    </row>
    <row r="407" spans="1:10" ht="18" x14ac:dyDescent="0.35">
      <c r="A407" s="12"/>
      <c r="B407" s="13"/>
      <c r="C407" s="25"/>
      <c r="D407" s="8"/>
      <c r="E407" s="8"/>
      <c r="H407" s="8"/>
      <c r="J407" s="40"/>
    </row>
    <row r="408" spans="1:10" ht="18" x14ac:dyDescent="0.3">
      <c r="A408" s="12">
        <v>44</v>
      </c>
      <c r="B408" t="s">
        <v>1</v>
      </c>
      <c r="C408" s="7" t="s">
        <v>2</v>
      </c>
      <c r="D408" s="8" t="s">
        <v>3</v>
      </c>
      <c r="E408" s="8" t="s">
        <v>4</v>
      </c>
      <c r="F408" t="s">
        <v>5</v>
      </c>
      <c r="G408" t="s">
        <v>6</v>
      </c>
      <c r="H408" s="9" t="s">
        <v>7</v>
      </c>
      <c r="I408" s="10" t="s">
        <v>8</v>
      </c>
      <c r="J408" s="38" t="s">
        <v>137</v>
      </c>
    </row>
    <row r="409" spans="1:10" ht="18" x14ac:dyDescent="0.35">
      <c r="A409" s="17" t="s">
        <v>103</v>
      </c>
      <c r="B409" s="13" t="s">
        <v>104</v>
      </c>
      <c r="C409" s="7">
        <v>4.4999999999999998E-2</v>
      </c>
      <c r="D409" s="8">
        <v>120</v>
      </c>
      <c r="E409" s="8">
        <f>C409*D409</f>
        <v>5.3999999999999995</v>
      </c>
      <c r="F409" s="14">
        <f>E421</f>
        <v>24.161999999999995</v>
      </c>
      <c r="G409">
        <v>1</v>
      </c>
      <c r="H409" s="15">
        <f>F409/G409</f>
        <v>24.161999999999995</v>
      </c>
      <c r="I409" s="16">
        <v>85</v>
      </c>
      <c r="J409" s="40">
        <f t="shared" si="36"/>
        <v>28.425882352941173</v>
      </c>
    </row>
    <row r="410" spans="1:10" ht="18" x14ac:dyDescent="0.35">
      <c r="A410" s="17"/>
      <c r="B410" s="13" t="s">
        <v>105</v>
      </c>
      <c r="C410" s="7">
        <v>2.5000000000000001E-2</v>
      </c>
      <c r="D410" s="8">
        <v>220</v>
      </c>
      <c r="E410" s="8">
        <f t="shared" ref="E410:E417" si="39">C410*D410</f>
        <v>5.5</v>
      </c>
      <c r="H410" s="8"/>
      <c r="J410" s="40"/>
    </row>
    <row r="411" spans="1:10" ht="18" x14ac:dyDescent="0.35">
      <c r="A411" s="17"/>
      <c r="B411" s="13" t="s">
        <v>11</v>
      </c>
      <c r="C411" s="7">
        <v>0.13</v>
      </c>
      <c r="D411" s="8">
        <v>85</v>
      </c>
      <c r="E411" s="8">
        <f t="shared" si="39"/>
        <v>11.05</v>
      </c>
      <c r="H411" s="8"/>
      <c r="J411" s="40"/>
    </row>
    <row r="412" spans="1:10" x14ac:dyDescent="0.35">
      <c r="A412" s="18"/>
      <c r="B412" s="13" t="s">
        <v>12</v>
      </c>
      <c r="C412" s="7">
        <v>0.04</v>
      </c>
      <c r="D412" s="8">
        <v>60</v>
      </c>
      <c r="E412" s="8">
        <f t="shared" si="39"/>
        <v>2.4</v>
      </c>
      <c r="H412" s="8"/>
      <c r="J412" s="40"/>
    </row>
    <row r="413" spans="1:10" x14ac:dyDescent="0.35">
      <c r="A413" s="18"/>
      <c r="B413" s="13" t="s">
        <v>13</v>
      </c>
      <c r="C413" s="7">
        <v>8.0000000000000002E-3</v>
      </c>
      <c r="D413" s="8">
        <v>118</v>
      </c>
      <c r="E413" s="8">
        <f t="shared" si="39"/>
        <v>0.94400000000000006</v>
      </c>
      <c r="H413" s="8"/>
      <c r="J413" s="40"/>
    </row>
    <row r="414" spans="1:10" x14ac:dyDescent="0.35">
      <c r="A414" s="18"/>
      <c r="B414" s="13" t="s">
        <v>31</v>
      </c>
      <c r="C414" s="7">
        <v>0.01</v>
      </c>
      <c r="D414" s="8">
        <v>220</v>
      </c>
      <c r="E414" s="8">
        <f t="shared" si="39"/>
        <v>2.2000000000000002</v>
      </c>
      <c r="H414" s="8"/>
      <c r="J414" s="40"/>
    </row>
    <row r="415" spans="1:10" x14ac:dyDescent="0.35">
      <c r="A415" s="18"/>
      <c r="B415" s="13" t="s">
        <v>86</v>
      </c>
      <c r="C415" s="7">
        <v>2E-3</v>
      </c>
      <c r="D415" s="8">
        <v>644</v>
      </c>
      <c r="E415" s="8">
        <f t="shared" si="39"/>
        <v>1.288</v>
      </c>
      <c r="H415" s="8"/>
      <c r="J415" s="40"/>
    </row>
    <row r="416" spans="1:10" x14ac:dyDescent="0.35">
      <c r="B416" s="13" t="s">
        <v>95</v>
      </c>
      <c r="C416" s="7">
        <v>3.0000000000000001E-3</v>
      </c>
      <c r="D416" s="8">
        <v>180</v>
      </c>
      <c r="E416" s="8">
        <f t="shared" si="39"/>
        <v>0.54</v>
      </c>
      <c r="H416" s="8"/>
      <c r="J416" s="40"/>
    </row>
    <row r="417" spans="1:10" x14ac:dyDescent="0.35">
      <c r="B417" s="13" t="s">
        <v>14</v>
      </c>
      <c r="C417" s="7">
        <v>3.0000000000000001E-3</v>
      </c>
      <c r="D417" s="8">
        <v>80</v>
      </c>
      <c r="E417" s="8">
        <f t="shared" si="39"/>
        <v>0.24</v>
      </c>
      <c r="H417" s="8"/>
      <c r="J417" s="40"/>
    </row>
    <row r="418" spans="1:10" x14ac:dyDescent="0.35">
      <c r="A418" s="18"/>
      <c r="B418" s="13"/>
      <c r="C418" s="7"/>
      <c r="D418" s="8"/>
      <c r="E418" s="8"/>
      <c r="H418" s="8"/>
      <c r="J418" s="40"/>
    </row>
    <row r="419" spans="1:10" x14ac:dyDescent="0.35">
      <c r="A419" s="6"/>
      <c r="B419" s="13"/>
      <c r="C419" s="7"/>
      <c r="D419" s="8"/>
      <c r="E419" s="8"/>
      <c r="H419" s="8"/>
      <c r="J419" s="40"/>
    </row>
    <row r="420" spans="1:10" x14ac:dyDescent="0.35">
      <c r="B420" s="13"/>
      <c r="C420" s="7"/>
      <c r="D420" s="8"/>
      <c r="E420" s="8"/>
      <c r="H420" s="8"/>
      <c r="J420" s="40"/>
    </row>
    <row r="421" spans="1:10" ht="18" x14ac:dyDescent="0.35">
      <c r="A421" s="12"/>
      <c r="B421" s="13"/>
      <c r="C421" s="19"/>
      <c r="D421" s="8"/>
      <c r="E421" s="20">
        <f>SUM(E410:E420)</f>
        <v>24.161999999999995</v>
      </c>
      <c r="H421" s="8"/>
      <c r="J421" s="40"/>
    </row>
    <row r="422" spans="1:10" ht="18" x14ac:dyDescent="0.35">
      <c r="A422" s="12"/>
      <c r="B422" s="13"/>
      <c r="C422" s="25"/>
      <c r="D422" s="8"/>
      <c r="E422" s="8"/>
      <c r="H422" s="8"/>
      <c r="J422" s="40"/>
    </row>
    <row r="423" spans="1:10" ht="18" x14ac:dyDescent="0.3">
      <c r="A423" s="12">
        <v>45</v>
      </c>
      <c r="B423" t="s">
        <v>1</v>
      </c>
      <c r="C423" s="7" t="s">
        <v>2</v>
      </c>
      <c r="D423" s="8" t="s">
        <v>3</v>
      </c>
      <c r="E423" s="8" t="s">
        <v>4</v>
      </c>
      <c r="F423" t="s">
        <v>5</v>
      </c>
      <c r="G423" t="s">
        <v>6</v>
      </c>
      <c r="H423" s="9" t="s">
        <v>7</v>
      </c>
      <c r="I423" s="10" t="s">
        <v>8</v>
      </c>
      <c r="J423" s="38" t="s">
        <v>137</v>
      </c>
    </row>
    <row r="424" spans="1:10" ht="18" x14ac:dyDescent="0.35">
      <c r="A424" s="17" t="s">
        <v>106</v>
      </c>
      <c r="B424" s="13" t="s">
        <v>107</v>
      </c>
      <c r="C424" s="7">
        <v>1</v>
      </c>
      <c r="D424" s="8">
        <v>9</v>
      </c>
      <c r="E424" s="8">
        <f>C424*D424</f>
        <v>9</v>
      </c>
      <c r="F424" s="14">
        <f>E441</f>
        <v>40.525999999999996</v>
      </c>
      <c r="G424">
        <v>1</v>
      </c>
      <c r="H424" s="15">
        <f>F424/G424</f>
        <v>40.525999999999996</v>
      </c>
      <c r="I424" s="16">
        <v>170</v>
      </c>
      <c r="J424" s="40">
        <f t="shared" si="36"/>
        <v>23.838823529411762</v>
      </c>
    </row>
    <row r="425" spans="1:10" ht="18" x14ac:dyDescent="0.35">
      <c r="A425" s="17"/>
      <c r="B425" s="13" t="s">
        <v>101</v>
      </c>
      <c r="C425" s="7">
        <v>1</v>
      </c>
      <c r="D425" s="8">
        <v>3.3</v>
      </c>
      <c r="E425" s="8">
        <f t="shared" ref="E425:E430" si="40">C425*D425</f>
        <v>3.3</v>
      </c>
      <c r="F425" s="14"/>
      <c r="H425" s="15"/>
      <c r="J425" s="40"/>
    </row>
    <row r="426" spans="1:10" ht="18" x14ac:dyDescent="0.35">
      <c r="A426" s="17"/>
      <c r="B426" s="13" t="s">
        <v>98</v>
      </c>
      <c r="C426" s="7">
        <v>1.4999999999999999E-2</v>
      </c>
      <c r="D426" s="8">
        <v>23</v>
      </c>
      <c r="E426" s="8">
        <f t="shared" si="40"/>
        <v>0.34499999999999997</v>
      </c>
      <c r="H426" s="8"/>
      <c r="J426" s="40"/>
    </row>
    <row r="427" spans="1:10" ht="18" x14ac:dyDescent="0.35">
      <c r="A427" s="17"/>
      <c r="B427" s="13" t="s">
        <v>99</v>
      </c>
      <c r="C427" s="7">
        <v>3.0000000000000001E-3</v>
      </c>
      <c r="D427" s="8">
        <v>210</v>
      </c>
      <c r="E427" s="8">
        <f t="shared" si="40"/>
        <v>0.63</v>
      </c>
      <c r="H427" s="8"/>
      <c r="J427" s="40"/>
    </row>
    <row r="428" spans="1:10" ht="18" x14ac:dyDescent="0.35">
      <c r="A428" s="17"/>
      <c r="B428" s="13" t="s">
        <v>108</v>
      </c>
      <c r="C428" s="7">
        <v>0.03</v>
      </c>
      <c r="D428" s="8">
        <v>94</v>
      </c>
      <c r="E428" s="8">
        <f t="shared" si="40"/>
        <v>2.82</v>
      </c>
      <c r="H428" s="8"/>
      <c r="J428" s="40"/>
    </row>
    <row r="429" spans="1:10" ht="18" x14ac:dyDescent="0.35">
      <c r="A429" s="12"/>
      <c r="B429" s="13" t="s">
        <v>109</v>
      </c>
      <c r="C429" s="7">
        <v>2</v>
      </c>
      <c r="D429" s="8">
        <v>0.7</v>
      </c>
      <c r="E429" s="8">
        <f t="shared" si="40"/>
        <v>1.4</v>
      </c>
      <c r="J429" s="40"/>
    </row>
    <row r="430" spans="1:10" ht="18" x14ac:dyDescent="0.35">
      <c r="A430" s="17"/>
      <c r="B430" s="13" t="s">
        <v>11</v>
      </c>
      <c r="C430" s="7">
        <v>0.185</v>
      </c>
      <c r="D430" s="8">
        <v>85</v>
      </c>
      <c r="E430" s="8">
        <f t="shared" si="40"/>
        <v>15.725</v>
      </c>
      <c r="H430" s="8"/>
      <c r="J430" s="40"/>
    </row>
    <row r="431" spans="1:10" x14ac:dyDescent="0.35">
      <c r="A431" s="18"/>
      <c r="B431" s="13" t="s">
        <v>86</v>
      </c>
      <c r="C431" s="7">
        <v>1E-3</v>
      </c>
      <c r="D431" s="8">
        <v>644</v>
      </c>
      <c r="E431" s="8">
        <f>C431*D431</f>
        <v>0.64400000000000002</v>
      </c>
      <c r="H431" s="8"/>
      <c r="J431" s="40"/>
    </row>
    <row r="432" spans="1:10" x14ac:dyDescent="0.35">
      <c r="A432" s="18"/>
      <c r="B432" s="13" t="s">
        <v>13</v>
      </c>
      <c r="C432" s="7">
        <v>1.4E-2</v>
      </c>
      <c r="D432" s="8">
        <v>188</v>
      </c>
      <c r="E432" s="8">
        <f t="shared" ref="E432:E437" si="41">C432*D432</f>
        <v>2.6320000000000001</v>
      </c>
      <c r="H432" s="8"/>
      <c r="J432" s="40"/>
    </row>
    <row r="433" spans="1:10" x14ac:dyDescent="0.35">
      <c r="A433" s="18"/>
      <c r="B433" s="13" t="s">
        <v>31</v>
      </c>
      <c r="C433" s="7">
        <v>7.0000000000000001E-3</v>
      </c>
      <c r="D433" s="8">
        <v>220</v>
      </c>
      <c r="E433" s="8">
        <f t="shared" si="41"/>
        <v>1.54</v>
      </c>
      <c r="H433" s="8"/>
      <c r="J433" s="40"/>
    </row>
    <row r="434" spans="1:10" x14ac:dyDescent="0.35">
      <c r="A434" s="18"/>
      <c r="B434" s="13" t="s">
        <v>110</v>
      </c>
      <c r="C434" s="7">
        <v>0.01</v>
      </c>
      <c r="D434" s="8">
        <v>60</v>
      </c>
      <c r="E434" s="8">
        <f t="shared" si="41"/>
        <v>0.6</v>
      </c>
      <c r="H434" s="8"/>
      <c r="J434" s="40"/>
    </row>
    <row r="435" spans="1:10" x14ac:dyDescent="0.35">
      <c r="A435" s="18"/>
      <c r="B435" s="13" t="s">
        <v>111</v>
      </c>
      <c r="C435" s="7">
        <v>5.0000000000000001E-3</v>
      </c>
      <c r="D435" s="8">
        <v>118</v>
      </c>
      <c r="E435" s="8">
        <f t="shared" si="41"/>
        <v>0.59</v>
      </c>
      <c r="H435" s="8"/>
      <c r="J435" s="40"/>
    </row>
    <row r="436" spans="1:10" x14ac:dyDescent="0.35">
      <c r="B436" s="13" t="s">
        <v>95</v>
      </c>
      <c r="C436" s="7">
        <v>5.0000000000000001E-3</v>
      </c>
      <c r="D436" s="8">
        <v>180</v>
      </c>
      <c r="E436" s="8">
        <f t="shared" si="41"/>
        <v>0.9</v>
      </c>
      <c r="H436" s="8"/>
      <c r="J436" s="40"/>
    </row>
    <row r="437" spans="1:10" x14ac:dyDescent="0.35">
      <c r="B437" s="13" t="s">
        <v>14</v>
      </c>
      <c r="C437" s="7">
        <v>5.0000000000000001E-3</v>
      </c>
      <c r="D437" s="8">
        <v>80</v>
      </c>
      <c r="E437" s="8">
        <f t="shared" si="41"/>
        <v>0.4</v>
      </c>
      <c r="H437" s="8"/>
      <c r="J437" s="40"/>
    </row>
    <row r="438" spans="1:10" x14ac:dyDescent="0.35">
      <c r="A438" s="18"/>
      <c r="B438" s="13"/>
      <c r="C438" s="7"/>
      <c r="D438" s="8"/>
      <c r="E438" s="8"/>
      <c r="H438" s="8"/>
      <c r="J438" s="40"/>
    </row>
    <row r="439" spans="1:10" x14ac:dyDescent="0.35">
      <c r="A439" s="6"/>
      <c r="B439" s="13"/>
      <c r="C439" s="7"/>
      <c r="D439" s="8"/>
      <c r="E439" s="8"/>
      <c r="H439" s="8"/>
      <c r="J439" s="40"/>
    </row>
    <row r="440" spans="1:10" x14ac:dyDescent="0.35">
      <c r="B440" s="13"/>
      <c r="C440" s="7"/>
      <c r="D440" s="8"/>
      <c r="E440" s="8"/>
      <c r="H440" s="8"/>
      <c r="J440" s="40"/>
    </row>
    <row r="441" spans="1:10" ht="18" x14ac:dyDescent="0.35">
      <c r="A441" s="12"/>
      <c r="B441" s="13"/>
      <c r="C441" s="19"/>
      <c r="D441" s="8"/>
      <c r="E441" s="20">
        <f>SUM(E424:E440)</f>
        <v>40.525999999999996</v>
      </c>
      <c r="H441" s="8"/>
      <c r="J441" s="40"/>
    </row>
    <row r="442" spans="1:10" ht="18" x14ac:dyDescent="0.35">
      <c r="A442" s="12"/>
      <c r="B442" s="13"/>
      <c r="C442" s="25"/>
      <c r="D442" s="8"/>
      <c r="E442" s="8"/>
      <c r="H442" s="8"/>
      <c r="J442" s="40"/>
    </row>
    <row r="443" spans="1:10" ht="18" x14ac:dyDescent="0.3">
      <c r="A443" s="12">
        <v>42</v>
      </c>
      <c r="B443" t="s">
        <v>1</v>
      </c>
      <c r="C443" s="7" t="s">
        <v>2</v>
      </c>
      <c r="D443" s="8" t="s">
        <v>3</v>
      </c>
      <c r="E443" s="8" t="s">
        <v>4</v>
      </c>
      <c r="F443" t="s">
        <v>5</v>
      </c>
      <c r="G443" t="s">
        <v>6</v>
      </c>
      <c r="H443" s="9" t="s">
        <v>7</v>
      </c>
      <c r="I443" s="10" t="s">
        <v>8</v>
      </c>
      <c r="J443" s="38" t="s">
        <v>137</v>
      </c>
    </row>
    <row r="444" spans="1:10" ht="18" x14ac:dyDescent="0.35">
      <c r="A444" s="17" t="s">
        <v>134</v>
      </c>
      <c r="B444" s="13" t="s">
        <v>113</v>
      </c>
      <c r="C444" s="7">
        <v>0.03</v>
      </c>
      <c r="D444" s="8">
        <v>50</v>
      </c>
      <c r="E444" s="8">
        <f>C444*D444</f>
        <v>1.5</v>
      </c>
      <c r="F444" s="14">
        <f>E461</f>
        <v>32.073999999999998</v>
      </c>
      <c r="G444">
        <v>1</v>
      </c>
      <c r="H444" s="15">
        <f>F444/G444</f>
        <v>32.073999999999998</v>
      </c>
      <c r="I444" s="16">
        <v>70</v>
      </c>
      <c r="J444" s="40">
        <f t="shared" ref="J444:J482" si="42">H444/I444*100</f>
        <v>45.82</v>
      </c>
    </row>
    <row r="445" spans="1:10" ht="18" x14ac:dyDescent="0.35">
      <c r="A445" s="17"/>
      <c r="B445" s="13" t="s">
        <v>114</v>
      </c>
      <c r="C445" s="7">
        <v>2.5999999999999999E-2</v>
      </c>
      <c r="D445" s="8">
        <v>135</v>
      </c>
      <c r="E445" s="8">
        <f t="shared" ref="E445:E450" si="43">C445*D445</f>
        <v>3.51</v>
      </c>
      <c r="F445" s="14"/>
      <c r="H445" s="15"/>
      <c r="J445" s="40"/>
    </row>
    <row r="446" spans="1:10" ht="18" x14ac:dyDescent="0.35">
      <c r="A446" s="17"/>
      <c r="B446" s="13" t="s">
        <v>98</v>
      </c>
      <c r="C446" s="7">
        <v>2.5000000000000001E-2</v>
      </c>
      <c r="D446" s="8">
        <v>23</v>
      </c>
      <c r="E446" s="8">
        <f t="shared" si="43"/>
        <v>0.57500000000000007</v>
      </c>
      <c r="H446" s="8"/>
      <c r="J446" s="40"/>
    </row>
    <row r="447" spans="1:10" ht="18" x14ac:dyDescent="0.35">
      <c r="A447" s="17"/>
      <c r="B447" s="13" t="s">
        <v>116</v>
      </c>
      <c r="C447" s="7">
        <v>5.0000000000000001E-3</v>
      </c>
      <c r="D447" s="8">
        <v>95</v>
      </c>
      <c r="E447" s="8">
        <f t="shared" si="43"/>
        <v>0.47500000000000003</v>
      </c>
      <c r="H447" s="8"/>
      <c r="J447" s="40"/>
    </row>
    <row r="448" spans="1:10" ht="18" x14ac:dyDescent="0.35">
      <c r="A448" s="12"/>
      <c r="B448" s="13" t="s">
        <v>118</v>
      </c>
      <c r="C448" s="7">
        <v>5.0000000000000001E-3</v>
      </c>
      <c r="D448" s="8">
        <v>80</v>
      </c>
      <c r="E448" s="8">
        <f t="shared" si="43"/>
        <v>0.4</v>
      </c>
      <c r="J448" s="40"/>
    </row>
    <row r="449" spans="1:10" x14ac:dyDescent="0.35">
      <c r="A449" s="18"/>
      <c r="B449" s="13" t="s">
        <v>93</v>
      </c>
      <c r="C449" s="7">
        <v>3.5000000000000003E-2</v>
      </c>
      <c r="D449" s="8">
        <v>34</v>
      </c>
      <c r="E449" s="8">
        <f t="shared" si="43"/>
        <v>1.1900000000000002</v>
      </c>
      <c r="H449" s="8"/>
      <c r="J449" s="40"/>
    </row>
    <row r="450" spans="1:10" x14ac:dyDescent="0.35">
      <c r="A450" s="18"/>
      <c r="B450" s="13" t="s">
        <v>94</v>
      </c>
      <c r="C450" s="7">
        <v>2.5000000000000001E-2</v>
      </c>
      <c r="D450" s="8">
        <v>60</v>
      </c>
      <c r="E450" s="8">
        <f t="shared" si="43"/>
        <v>1.5</v>
      </c>
      <c r="H450" s="8"/>
      <c r="J450" s="40"/>
    </row>
    <row r="451" spans="1:10" x14ac:dyDescent="0.35">
      <c r="A451" s="18"/>
      <c r="B451" s="13" t="s">
        <v>86</v>
      </c>
      <c r="C451" s="7">
        <v>6.0000000000000001E-3</v>
      </c>
      <c r="D451" s="8">
        <v>644</v>
      </c>
      <c r="E451" s="8">
        <f>C451*D451</f>
        <v>3.8639999999999999</v>
      </c>
      <c r="H451" s="8"/>
      <c r="J451" s="40"/>
    </row>
    <row r="452" spans="1:10" x14ac:dyDescent="0.35">
      <c r="A452" s="18"/>
      <c r="B452" s="13" t="s">
        <v>11</v>
      </c>
      <c r="C452" s="7">
        <v>0.11</v>
      </c>
      <c r="D452" s="8">
        <v>85</v>
      </c>
      <c r="E452" s="8">
        <f>C452*D452</f>
        <v>9.35</v>
      </c>
      <c r="H452" s="8"/>
      <c r="J452" s="40"/>
    </row>
    <row r="453" spans="1:10" x14ac:dyDescent="0.35">
      <c r="A453" s="18"/>
      <c r="B453" s="13" t="s">
        <v>12</v>
      </c>
      <c r="C453" s="7">
        <v>4.1000000000000002E-2</v>
      </c>
      <c r="D453" s="8">
        <v>60</v>
      </c>
      <c r="E453" s="8">
        <f t="shared" ref="E453:E457" si="44">C453*D453</f>
        <v>2.46</v>
      </c>
      <c r="H453" s="8"/>
      <c r="J453" s="40"/>
    </row>
    <row r="454" spans="1:10" x14ac:dyDescent="0.35">
      <c r="A454" s="18"/>
      <c r="B454" s="13" t="s">
        <v>13</v>
      </c>
      <c r="C454" s="7">
        <v>2.5000000000000001E-2</v>
      </c>
      <c r="D454" s="8">
        <v>118</v>
      </c>
      <c r="E454" s="8">
        <f t="shared" si="44"/>
        <v>2.95</v>
      </c>
      <c r="H454" s="8"/>
      <c r="J454" s="40"/>
    </row>
    <row r="455" spans="1:10" x14ac:dyDescent="0.35">
      <c r="A455" s="18"/>
      <c r="B455" s="13" t="s">
        <v>119</v>
      </c>
      <c r="C455" s="7">
        <v>1.4999999999999999E-2</v>
      </c>
      <c r="D455" s="8">
        <v>220</v>
      </c>
      <c r="E455" s="8">
        <f t="shared" si="44"/>
        <v>3.3</v>
      </c>
      <c r="H455" s="8"/>
      <c r="J455" s="40"/>
    </row>
    <row r="456" spans="1:10" x14ac:dyDescent="0.35">
      <c r="B456" s="13" t="s">
        <v>96</v>
      </c>
      <c r="C456" s="7">
        <v>5.0000000000000001E-3</v>
      </c>
      <c r="D456" s="8">
        <v>80</v>
      </c>
      <c r="E456" s="8">
        <f t="shared" si="44"/>
        <v>0.4</v>
      </c>
      <c r="H456" s="8"/>
      <c r="J456" s="40"/>
    </row>
    <row r="457" spans="1:10" x14ac:dyDescent="0.35">
      <c r="A457" s="18"/>
      <c r="B457" s="13" t="s">
        <v>110</v>
      </c>
      <c r="C457" s="7">
        <v>0.01</v>
      </c>
      <c r="D457" s="8">
        <v>60</v>
      </c>
      <c r="E457" s="8">
        <f t="shared" si="44"/>
        <v>0.6</v>
      </c>
      <c r="H457" s="8"/>
      <c r="J457" s="40"/>
    </row>
    <row r="458" spans="1:10" x14ac:dyDescent="0.35">
      <c r="A458" s="18"/>
      <c r="B458" s="13"/>
      <c r="C458" s="7"/>
      <c r="D458" s="8"/>
      <c r="E458" s="8"/>
      <c r="H458" s="8"/>
      <c r="J458" s="40"/>
    </row>
    <row r="459" spans="1:10" x14ac:dyDescent="0.35">
      <c r="A459" s="6"/>
      <c r="B459" s="13"/>
      <c r="C459" s="7"/>
      <c r="D459" s="8"/>
      <c r="E459" s="8"/>
      <c r="H459" s="8"/>
      <c r="J459" s="40"/>
    </row>
    <row r="460" spans="1:10" x14ac:dyDescent="0.35">
      <c r="B460" s="13"/>
      <c r="C460" s="7"/>
      <c r="D460" s="8"/>
      <c r="E460" s="8"/>
      <c r="H460" s="8"/>
      <c r="J460" s="40"/>
    </row>
    <row r="461" spans="1:10" ht="18" x14ac:dyDescent="0.35">
      <c r="A461" s="12"/>
      <c r="B461" s="13"/>
      <c r="C461" s="19"/>
      <c r="D461" s="8"/>
      <c r="E461" s="20">
        <f>SUM(E444:E460)</f>
        <v>32.073999999999998</v>
      </c>
      <c r="H461" s="8"/>
      <c r="J461" s="40"/>
    </row>
    <row r="462" spans="1:10" ht="18" x14ac:dyDescent="0.35">
      <c r="A462" s="12"/>
      <c r="B462" s="13"/>
      <c r="C462" s="25"/>
      <c r="D462" s="8"/>
      <c r="E462" s="8"/>
      <c r="H462" s="8"/>
      <c r="J462" s="40"/>
    </row>
    <row r="463" spans="1:10" ht="18" x14ac:dyDescent="0.3">
      <c r="A463" s="12">
        <v>42</v>
      </c>
      <c r="B463" t="s">
        <v>1</v>
      </c>
      <c r="C463" s="7" t="s">
        <v>2</v>
      </c>
      <c r="D463" s="8" t="s">
        <v>3</v>
      </c>
      <c r="E463" s="8" t="s">
        <v>4</v>
      </c>
      <c r="F463" t="s">
        <v>5</v>
      </c>
      <c r="G463" t="s">
        <v>6</v>
      </c>
      <c r="H463" s="9" t="s">
        <v>7</v>
      </c>
      <c r="I463" s="10" t="s">
        <v>8</v>
      </c>
      <c r="J463" s="38" t="s">
        <v>137</v>
      </c>
    </row>
    <row r="464" spans="1:10" ht="18" x14ac:dyDescent="0.35">
      <c r="A464" s="17" t="s">
        <v>112</v>
      </c>
      <c r="B464" s="13" t="s">
        <v>113</v>
      </c>
      <c r="C464" s="7">
        <v>0.03</v>
      </c>
      <c r="D464" s="8">
        <v>50</v>
      </c>
      <c r="E464" s="8">
        <f>C464*D464</f>
        <v>1.5</v>
      </c>
      <c r="F464" s="14">
        <f>E479</f>
        <v>22.123999999999999</v>
      </c>
      <c r="G464">
        <v>1</v>
      </c>
      <c r="H464" s="15">
        <f>F464/G464</f>
        <v>22.123999999999999</v>
      </c>
      <c r="I464" s="16">
        <v>60</v>
      </c>
      <c r="J464" s="40">
        <f t="shared" si="42"/>
        <v>36.873333333333328</v>
      </c>
    </row>
    <row r="465" spans="1:10" ht="18" x14ac:dyDescent="0.35">
      <c r="A465" s="17"/>
      <c r="B465" s="13" t="s">
        <v>114</v>
      </c>
      <c r="C465" s="7">
        <v>2.5999999999999999E-2</v>
      </c>
      <c r="D465" s="8">
        <v>135</v>
      </c>
      <c r="E465" s="8">
        <f t="shared" ref="E465:E470" si="45">C465*D465</f>
        <v>3.51</v>
      </c>
      <c r="F465" s="14"/>
      <c r="H465" s="15"/>
      <c r="J465" s="40"/>
    </row>
    <row r="466" spans="1:10" ht="18" x14ac:dyDescent="0.35">
      <c r="A466" s="17"/>
      <c r="B466" s="13" t="s">
        <v>98</v>
      </c>
      <c r="C466" s="7">
        <v>2.5000000000000001E-2</v>
      </c>
      <c r="D466" s="8">
        <v>23</v>
      </c>
      <c r="E466" s="8">
        <f t="shared" si="45"/>
        <v>0.57500000000000007</v>
      </c>
      <c r="H466" s="8"/>
      <c r="J466" s="40"/>
    </row>
    <row r="467" spans="1:10" ht="18" x14ac:dyDescent="0.35">
      <c r="A467" s="17"/>
      <c r="B467" s="13" t="s">
        <v>116</v>
      </c>
      <c r="C467" s="7">
        <v>5.0000000000000001E-3</v>
      </c>
      <c r="D467" s="8">
        <v>95</v>
      </c>
      <c r="E467" s="8">
        <f t="shared" si="45"/>
        <v>0.47500000000000003</v>
      </c>
      <c r="H467" s="8"/>
      <c r="J467" s="40"/>
    </row>
    <row r="468" spans="1:10" ht="18" x14ac:dyDescent="0.35">
      <c r="A468" s="12"/>
      <c r="B468" s="13" t="s">
        <v>118</v>
      </c>
      <c r="C468" s="7">
        <v>5.0000000000000001E-3</v>
      </c>
      <c r="D468" s="8">
        <v>80</v>
      </c>
      <c r="E468" s="8">
        <f t="shared" si="45"/>
        <v>0.4</v>
      </c>
      <c r="J468" s="40"/>
    </row>
    <row r="469" spans="1:10" x14ac:dyDescent="0.35">
      <c r="A469" s="18"/>
      <c r="B469" s="13" t="s">
        <v>93</v>
      </c>
      <c r="C469" s="7">
        <v>3.5000000000000003E-2</v>
      </c>
      <c r="D469" s="8">
        <v>34</v>
      </c>
      <c r="E469" s="8">
        <f t="shared" si="45"/>
        <v>1.1900000000000002</v>
      </c>
      <c r="H469" s="8"/>
      <c r="J469" s="40"/>
    </row>
    <row r="470" spans="1:10" x14ac:dyDescent="0.35">
      <c r="A470" s="18"/>
      <c r="B470" s="13" t="s">
        <v>94</v>
      </c>
      <c r="C470" s="7">
        <v>2.5000000000000001E-2</v>
      </c>
      <c r="D470" s="8">
        <v>60</v>
      </c>
      <c r="E470" s="8">
        <f t="shared" si="45"/>
        <v>1.5</v>
      </c>
      <c r="H470" s="8"/>
      <c r="J470" s="40"/>
    </row>
    <row r="471" spans="1:10" x14ac:dyDescent="0.35">
      <c r="A471" s="18"/>
      <c r="B471" s="13" t="s">
        <v>86</v>
      </c>
      <c r="C471" s="7">
        <v>6.0000000000000001E-3</v>
      </c>
      <c r="D471" s="8">
        <v>644</v>
      </c>
      <c r="E471" s="8">
        <f>C471*D471</f>
        <v>3.8639999999999999</v>
      </c>
      <c r="H471" s="8"/>
      <c r="J471" s="40"/>
    </row>
    <row r="472" spans="1:10" x14ac:dyDescent="0.35">
      <c r="A472" s="18"/>
      <c r="B472" s="13" t="s">
        <v>12</v>
      </c>
      <c r="C472" s="7">
        <v>4.1000000000000002E-2</v>
      </c>
      <c r="D472" s="8">
        <v>60</v>
      </c>
      <c r="E472" s="8">
        <f t="shared" ref="E472:E475" si="46">C472*D472</f>
        <v>2.46</v>
      </c>
      <c r="H472" s="8"/>
      <c r="J472" s="40"/>
    </row>
    <row r="473" spans="1:10" x14ac:dyDescent="0.35">
      <c r="A473" s="18"/>
      <c r="B473" s="13" t="s">
        <v>13</v>
      </c>
      <c r="C473" s="7">
        <v>2.5000000000000001E-2</v>
      </c>
      <c r="D473" s="8">
        <v>118</v>
      </c>
      <c r="E473" s="8">
        <f t="shared" si="46"/>
        <v>2.95</v>
      </c>
      <c r="H473" s="8"/>
      <c r="J473" s="40"/>
    </row>
    <row r="474" spans="1:10" x14ac:dyDescent="0.35">
      <c r="A474" s="18"/>
      <c r="B474" s="13" t="s">
        <v>119</v>
      </c>
      <c r="C474" s="7">
        <v>1.4999999999999999E-2</v>
      </c>
      <c r="D474" s="8">
        <v>220</v>
      </c>
      <c r="E474" s="8">
        <f t="shared" si="46"/>
        <v>3.3</v>
      </c>
      <c r="H474" s="8"/>
      <c r="J474" s="40"/>
    </row>
    <row r="475" spans="1:10" x14ac:dyDescent="0.35">
      <c r="B475" s="13" t="s">
        <v>30</v>
      </c>
      <c r="C475" s="7">
        <v>5.0000000000000001E-3</v>
      </c>
      <c r="D475" s="8">
        <v>80</v>
      </c>
      <c r="E475" s="8">
        <f t="shared" si="46"/>
        <v>0.4</v>
      </c>
      <c r="H475" s="8"/>
      <c r="J475" s="40"/>
    </row>
    <row r="476" spans="1:10" x14ac:dyDescent="0.35">
      <c r="A476" s="18"/>
      <c r="B476" s="13"/>
      <c r="C476" s="7"/>
      <c r="D476" s="8"/>
      <c r="E476" s="8"/>
      <c r="H476" s="8"/>
      <c r="J476" s="40"/>
    </row>
    <row r="477" spans="1:10" x14ac:dyDescent="0.35">
      <c r="A477" s="6"/>
      <c r="B477" s="13"/>
      <c r="C477" s="7"/>
      <c r="D477" s="8"/>
      <c r="E477" s="8"/>
      <c r="H477" s="8"/>
      <c r="J477" s="40"/>
    </row>
    <row r="478" spans="1:10" x14ac:dyDescent="0.35">
      <c r="B478" s="13"/>
      <c r="C478" s="7"/>
      <c r="D478" s="8"/>
      <c r="E478" s="8"/>
      <c r="H478" s="8"/>
      <c r="J478" s="40"/>
    </row>
    <row r="479" spans="1:10" ht="18" x14ac:dyDescent="0.35">
      <c r="A479" s="12"/>
      <c r="B479" s="13"/>
      <c r="C479" s="19"/>
      <c r="D479" s="8"/>
      <c r="E479" s="20">
        <f>SUM(E464:E478)</f>
        <v>22.123999999999999</v>
      </c>
      <c r="H479" s="8"/>
      <c r="J479" s="40"/>
    </row>
    <row r="480" spans="1:10" ht="18" x14ac:dyDescent="0.35">
      <c r="A480" s="12"/>
      <c r="B480" s="13"/>
      <c r="C480" s="25"/>
      <c r="D480" s="8"/>
      <c r="E480" s="8"/>
      <c r="H480" s="8"/>
      <c r="J480" s="40"/>
    </row>
    <row r="481" spans="1:10" ht="18" x14ac:dyDescent="0.3">
      <c r="A481" s="12">
        <v>43</v>
      </c>
      <c r="B481" t="s">
        <v>1</v>
      </c>
      <c r="C481" s="7" t="s">
        <v>2</v>
      </c>
      <c r="D481" s="8" t="s">
        <v>3</v>
      </c>
      <c r="E481" s="8" t="s">
        <v>4</v>
      </c>
      <c r="F481" t="s">
        <v>5</v>
      </c>
      <c r="G481" t="s">
        <v>6</v>
      </c>
      <c r="H481" s="9" t="s">
        <v>7</v>
      </c>
      <c r="I481" s="10" t="s">
        <v>8</v>
      </c>
      <c r="J481" s="38" t="s">
        <v>137</v>
      </c>
    </row>
    <row r="482" spans="1:10" ht="18" x14ac:dyDescent="0.35">
      <c r="A482" s="17" t="s">
        <v>120</v>
      </c>
      <c r="B482" s="13" t="s">
        <v>121</v>
      </c>
      <c r="C482" s="7">
        <v>2.1999999999999999E-2</v>
      </c>
      <c r="D482" s="8">
        <v>40</v>
      </c>
      <c r="E482" s="8">
        <f>C482*D482</f>
        <v>0.87999999999999989</v>
      </c>
      <c r="F482" s="14">
        <f>E498</f>
        <v>20.136999999999997</v>
      </c>
      <c r="G482">
        <v>1</v>
      </c>
      <c r="H482" s="15">
        <f>F482/G482</f>
        <v>20.136999999999997</v>
      </c>
      <c r="I482" s="16">
        <v>60</v>
      </c>
      <c r="J482" s="40">
        <f t="shared" si="42"/>
        <v>33.56166666666666</v>
      </c>
    </row>
    <row r="483" spans="1:10" ht="18" x14ac:dyDescent="0.35">
      <c r="A483" s="17"/>
      <c r="B483" s="13" t="s">
        <v>117</v>
      </c>
      <c r="C483" s="7">
        <v>1.4999999999999999E-2</v>
      </c>
      <c r="D483" s="8">
        <v>125</v>
      </c>
      <c r="E483" s="8">
        <f t="shared" ref="E483:E491" si="47">C483*D483</f>
        <v>1.875</v>
      </c>
      <c r="F483" s="14"/>
      <c r="H483" s="15"/>
      <c r="J483" s="40"/>
    </row>
    <row r="484" spans="1:10" ht="18" x14ac:dyDescent="0.35">
      <c r="A484" s="17"/>
      <c r="B484" s="13" t="s">
        <v>115</v>
      </c>
      <c r="C484" s="7">
        <v>2.5000000000000001E-2</v>
      </c>
      <c r="D484" s="8">
        <v>220</v>
      </c>
      <c r="E484" s="8">
        <f t="shared" si="47"/>
        <v>5.5</v>
      </c>
      <c r="H484" s="8"/>
      <c r="J484" s="40"/>
    </row>
    <row r="485" spans="1:10" ht="18" x14ac:dyDescent="0.35">
      <c r="A485" s="17"/>
      <c r="B485" s="13" t="s">
        <v>122</v>
      </c>
      <c r="C485" s="7">
        <v>2.5000000000000001E-2</v>
      </c>
      <c r="D485" s="8">
        <v>80</v>
      </c>
      <c r="E485" s="8">
        <f t="shared" si="47"/>
        <v>2</v>
      </c>
      <c r="H485" s="8"/>
      <c r="J485" s="40"/>
    </row>
    <row r="486" spans="1:10" ht="18" x14ac:dyDescent="0.35">
      <c r="A486" s="17"/>
      <c r="B486" s="13" t="s">
        <v>98</v>
      </c>
      <c r="C486" s="7">
        <v>2.5000000000000001E-2</v>
      </c>
      <c r="D486" s="8">
        <v>23</v>
      </c>
      <c r="E486" s="8">
        <f t="shared" si="47"/>
        <v>0.57500000000000007</v>
      </c>
      <c r="H486" s="8"/>
      <c r="J486" s="40"/>
    </row>
    <row r="487" spans="1:10" ht="18" x14ac:dyDescent="0.35">
      <c r="A487" s="17"/>
      <c r="B487" s="13" t="s">
        <v>116</v>
      </c>
      <c r="C487" s="7">
        <v>5.0000000000000001E-3</v>
      </c>
      <c r="D487" s="8">
        <v>95</v>
      </c>
      <c r="E487" s="8">
        <f t="shared" si="47"/>
        <v>0.47500000000000003</v>
      </c>
      <c r="H487" s="8"/>
      <c r="J487" s="40"/>
    </row>
    <row r="488" spans="1:10" ht="18" x14ac:dyDescent="0.35">
      <c r="A488" s="12"/>
      <c r="B488" s="13" t="s">
        <v>118</v>
      </c>
      <c r="C488" s="7">
        <v>5.0000000000000001E-3</v>
      </c>
      <c r="D488" s="8">
        <v>80</v>
      </c>
      <c r="E488" s="8">
        <f t="shared" si="47"/>
        <v>0.4</v>
      </c>
      <c r="J488" s="40"/>
    </row>
    <row r="489" spans="1:10" x14ac:dyDescent="0.35">
      <c r="A489" s="18"/>
      <c r="B489" s="13" t="s">
        <v>93</v>
      </c>
      <c r="C489" s="7">
        <v>0.04</v>
      </c>
      <c r="D489" s="8">
        <v>34</v>
      </c>
      <c r="E489" s="8">
        <f t="shared" si="47"/>
        <v>1.36</v>
      </c>
      <c r="H489" s="8"/>
      <c r="J489" s="40"/>
    </row>
    <row r="490" spans="1:10" x14ac:dyDescent="0.35">
      <c r="A490" s="18"/>
      <c r="B490" s="13" t="s">
        <v>123</v>
      </c>
      <c r="C490" s="7">
        <v>5.0000000000000001E-3</v>
      </c>
      <c r="D490" s="8">
        <v>50</v>
      </c>
      <c r="E490" s="8">
        <f t="shared" si="47"/>
        <v>0.25</v>
      </c>
      <c r="H490" s="8"/>
      <c r="J490" s="40"/>
    </row>
    <row r="491" spans="1:10" ht="18" x14ac:dyDescent="0.35">
      <c r="A491" s="17"/>
      <c r="B491" s="13" t="s">
        <v>124</v>
      </c>
      <c r="C491" s="7">
        <v>6.0000000000000001E-3</v>
      </c>
      <c r="D491" s="8">
        <v>167</v>
      </c>
      <c r="E491" s="8">
        <f t="shared" si="47"/>
        <v>1.002</v>
      </c>
      <c r="H491" s="8"/>
      <c r="J491" s="40"/>
    </row>
    <row r="492" spans="1:10" x14ac:dyDescent="0.35">
      <c r="A492" s="18"/>
      <c r="B492" s="13" t="s">
        <v>86</v>
      </c>
      <c r="C492" s="7">
        <v>5.0000000000000001E-3</v>
      </c>
      <c r="D492" s="8">
        <v>644</v>
      </c>
      <c r="E492" s="8">
        <f>C492*D492</f>
        <v>3.22</v>
      </c>
      <c r="H492" s="8"/>
      <c r="J492" s="40"/>
    </row>
    <row r="493" spans="1:10" x14ac:dyDescent="0.35">
      <c r="B493" s="13" t="s">
        <v>30</v>
      </c>
      <c r="C493" s="7">
        <v>5.0000000000000001E-3</v>
      </c>
      <c r="D493" s="8">
        <v>80</v>
      </c>
      <c r="E493" s="8">
        <f t="shared" ref="E493:E494" si="48">C493*D493</f>
        <v>0.4</v>
      </c>
      <c r="H493" s="8"/>
      <c r="J493" s="40"/>
    </row>
    <row r="494" spans="1:10" x14ac:dyDescent="0.35">
      <c r="A494" s="18"/>
      <c r="B494" s="13" t="s">
        <v>125</v>
      </c>
      <c r="C494" s="7">
        <v>0.01</v>
      </c>
      <c r="D494" s="8">
        <v>220</v>
      </c>
      <c r="E494" s="8">
        <f t="shared" si="48"/>
        <v>2.2000000000000002</v>
      </c>
      <c r="H494" s="8"/>
      <c r="J494" s="40"/>
    </row>
    <row r="495" spans="1:10" x14ac:dyDescent="0.35">
      <c r="A495" s="18"/>
      <c r="B495" s="13"/>
      <c r="C495" s="7"/>
      <c r="D495" s="8"/>
      <c r="E495" s="8"/>
      <c r="H495" s="8"/>
      <c r="J495" s="40"/>
    </row>
    <row r="496" spans="1:10" x14ac:dyDescent="0.35">
      <c r="A496" s="6"/>
      <c r="B496" s="13"/>
      <c r="C496" s="7"/>
      <c r="D496" s="8"/>
      <c r="E496" s="8"/>
      <c r="H496" s="8"/>
      <c r="J496" s="40"/>
    </row>
    <row r="497" spans="1:10" x14ac:dyDescent="0.35">
      <c r="B497" s="13"/>
      <c r="C497" s="7"/>
      <c r="D497" s="8"/>
      <c r="E497" s="8"/>
      <c r="H497" s="8"/>
      <c r="J497" s="40"/>
    </row>
    <row r="498" spans="1:10" ht="18" x14ac:dyDescent="0.35">
      <c r="A498" s="12"/>
      <c r="B498" s="13"/>
      <c r="C498" s="19"/>
      <c r="D498" s="8"/>
      <c r="E498" s="20">
        <f>SUM(E482:E497)</f>
        <v>20.136999999999997</v>
      </c>
      <c r="H498" s="8"/>
      <c r="J498" s="40"/>
    </row>
    <row r="499" spans="1:10" ht="18" x14ac:dyDescent="0.35">
      <c r="A499" s="12"/>
      <c r="B499" s="13"/>
      <c r="C499" s="25"/>
      <c r="D499" s="8"/>
      <c r="E499" s="8"/>
      <c r="H499" s="8"/>
      <c r="J499" s="40"/>
    </row>
    <row r="500" spans="1:10" s="5" customFormat="1" ht="21" x14ac:dyDescent="0.4">
      <c r="A500" s="28" t="s">
        <v>43</v>
      </c>
      <c r="B500" s="29" t="s">
        <v>78</v>
      </c>
      <c r="C500" s="3"/>
      <c r="D500" s="3"/>
      <c r="E500" s="3"/>
      <c r="F500" s="3"/>
      <c r="G500" s="3"/>
      <c r="H500" s="3"/>
      <c r="I500" s="4"/>
      <c r="J500" s="40"/>
    </row>
    <row r="501" spans="1:10" x14ac:dyDescent="0.35">
      <c r="J501" s="40"/>
    </row>
    <row r="502" spans="1:10" x14ac:dyDescent="0.35">
      <c r="A502" s="30" t="s">
        <v>43</v>
      </c>
      <c r="C502" s="25"/>
      <c r="D502" s="8"/>
      <c r="E502" s="8"/>
      <c r="H502" s="8"/>
      <c r="J502" s="40"/>
    </row>
    <row r="503" spans="1:10" ht="18" x14ac:dyDescent="0.3">
      <c r="A503" s="12">
        <v>48</v>
      </c>
      <c r="B503" t="s">
        <v>1</v>
      </c>
      <c r="C503" s="25"/>
      <c r="D503" s="8"/>
      <c r="E503" s="8"/>
      <c r="F503" t="s">
        <v>5</v>
      </c>
      <c r="G503" t="s">
        <v>6</v>
      </c>
      <c r="H503" s="9" t="s">
        <v>7</v>
      </c>
      <c r="I503" s="10" t="s">
        <v>8</v>
      </c>
      <c r="J503" s="38" t="s">
        <v>137</v>
      </c>
    </row>
    <row r="504" spans="1:10" ht="18" x14ac:dyDescent="0.35">
      <c r="A504" s="17" t="s">
        <v>79</v>
      </c>
      <c r="B504" s="13" t="s">
        <v>80</v>
      </c>
      <c r="C504" s="7">
        <v>6</v>
      </c>
      <c r="D504" s="8">
        <v>0.7</v>
      </c>
      <c r="E504" s="8">
        <f t="shared" ref="E504:E507" si="49">C504*D504</f>
        <v>4.1999999999999993</v>
      </c>
      <c r="F504" s="14">
        <f>E510</f>
        <v>18.54</v>
      </c>
      <c r="G504">
        <v>1</v>
      </c>
      <c r="H504" s="15">
        <f>F504/G504</f>
        <v>18.54</v>
      </c>
      <c r="I504" s="16">
        <v>50</v>
      </c>
      <c r="J504" s="40">
        <f t="shared" ref="J504:J542" si="50">H504/I504*100</f>
        <v>37.08</v>
      </c>
    </row>
    <row r="505" spans="1:10" x14ac:dyDescent="0.35">
      <c r="A505" s="18"/>
      <c r="B505" s="13" t="s">
        <v>126</v>
      </c>
      <c r="C505" s="7">
        <v>0.05</v>
      </c>
      <c r="D505" s="8">
        <v>94</v>
      </c>
      <c r="E505" s="8">
        <f t="shared" si="49"/>
        <v>4.7</v>
      </c>
      <c r="H505" s="8"/>
      <c r="J505" s="40"/>
    </row>
    <row r="506" spans="1:10" x14ac:dyDescent="0.35">
      <c r="A506" s="18"/>
      <c r="B506" s="13" t="s">
        <v>82</v>
      </c>
      <c r="C506" s="7">
        <v>0.18</v>
      </c>
      <c r="D506" s="8">
        <v>48</v>
      </c>
      <c r="E506" s="8">
        <f>C506*D506</f>
        <v>8.64</v>
      </c>
      <c r="H506" s="8"/>
      <c r="J506" s="40"/>
    </row>
    <row r="507" spans="1:10" x14ac:dyDescent="0.35">
      <c r="A507" s="18"/>
      <c r="B507" s="13" t="s">
        <v>83</v>
      </c>
      <c r="C507" s="7">
        <v>1</v>
      </c>
      <c r="D507" s="8">
        <v>1</v>
      </c>
      <c r="E507" s="8">
        <f t="shared" si="49"/>
        <v>1</v>
      </c>
      <c r="H507" s="8"/>
      <c r="J507" s="40"/>
    </row>
    <row r="508" spans="1:10" x14ac:dyDescent="0.35">
      <c r="A508" s="18"/>
      <c r="B508" s="13"/>
      <c r="C508" s="7"/>
      <c r="D508" s="8"/>
      <c r="E508" s="8"/>
      <c r="H508" s="8"/>
      <c r="J508" s="40"/>
    </row>
    <row r="509" spans="1:10" x14ac:dyDescent="0.35">
      <c r="A509" s="18"/>
      <c r="B509" s="13"/>
      <c r="C509" s="7"/>
      <c r="D509" s="8"/>
      <c r="E509" s="8"/>
      <c r="H509" s="8"/>
      <c r="J509" s="40"/>
    </row>
    <row r="510" spans="1:10" x14ac:dyDescent="0.35">
      <c r="A510" s="18"/>
      <c r="C510" s="19"/>
      <c r="D510" s="8"/>
      <c r="E510" s="20">
        <f>SUM(E503:E509)</f>
        <v>18.54</v>
      </c>
      <c r="H510" s="8"/>
      <c r="J510" s="40"/>
    </row>
    <row r="511" spans="1:10" x14ac:dyDescent="0.35">
      <c r="J511" s="40"/>
    </row>
    <row r="512" spans="1:10" x14ac:dyDescent="0.35">
      <c r="J512" s="40"/>
    </row>
    <row r="513" spans="1:10" ht="15.6" x14ac:dyDescent="0.3">
      <c r="A513" s="30" t="s">
        <v>43</v>
      </c>
      <c r="B513" t="s">
        <v>1</v>
      </c>
      <c r="C513" s="7" t="s">
        <v>2</v>
      </c>
      <c r="D513" s="8" t="s">
        <v>3</v>
      </c>
      <c r="E513" s="8" t="s">
        <v>4</v>
      </c>
      <c r="F513" t="s">
        <v>5</v>
      </c>
      <c r="G513" t="s">
        <v>6</v>
      </c>
      <c r="H513" s="9" t="s">
        <v>7</v>
      </c>
      <c r="I513" s="10" t="s">
        <v>8</v>
      </c>
      <c r="J513" s="38" t="s">
        <v>137</v>
      </c>
    </row>
    <row r="514" spans="1:10" ht="18" x14ac:dyDescent="0.35">
      <c r="A514" s="12">
        <v>49</v>
      </c>
      <c r="B514" s="13" t="s">
        <v>85</v>
      </c>
      <c r="C514" s="7">
        <v>5</v>
      </c>
      <c r="D514" s="8">
        <v>1.4</v>
      </c>
      <c r="E514" s="8">
        <f t="shared" ref="E514:E521" si="51">C514*D514</f>
        <v>7</v>
      </c>
      <c r="F514" s="14">
        <f>E525</f>
        <v>29.303999999999998</v>
      </c>
      <c r="G514">
        <v>1</v>
      </c>
      <c r="H514" s="15">
        <f>F514/G514</f>
        <v>29.303999999999998</v>
      </c>
      <c r="I514" s="16">
        <v>80</v>
      </c>
      <c r="J514" s="40">
        <f t="shared" si="50"/>
        <v>36.629999999999995</v>
      </c>
    </row>
    <row r="515" spans="1:10" ht="18" x14ac:dyDescent="0.35">
      <c r="A515" s="17" t="s">
        <v>84</v>
      </c>
      <c r="B515" s="13" t="s">
        <v>11</v>
      </c>
      <c r="C515" s="7">
        <v>0.17</v>
      </c>
      <c r="D515" s="8">
        <v>85</v>
      </c>
      <c r="E515" s="8">
        <f t="shared" si="51"/>
        <v>14.450000000000001</v>
      </c>
      <c r="H515" s="8"/>
      <c r="J515" s="40"/>
    </row>
    <row r="516" spans="1:10" x14ac:dyDescent="0.35">
      <c r="A516" s="18"/>
      <c r="B516" s="13" t="s">
        <v>126</v>
      </c>
      <c r="C516" s="7">
        <v>0.04</v>
      </c>
      <c r="D516" s="8">
        <v>94</v>
      </c>
      <c r="E516" s="8">
        <f t="shared" si="51"/>
        <v>3.7600000000000002</v>
      </c>
      <c r="H516" s="8"/>
      <c r="J516" s="40"/>
    </row>
    <row r="517" spans="1:10" x14ac:dyDescent="0.35">
      <c r="A517" s="18"/>
      <c r="B517" s="13" t="s">
        <v>12</v>
      </c>
      <c r="C517" s="7">
        <v>1.7999999999999999E-2</v>
      </c>
      <c r="D517" s="8">
        <v>60</v>
      </c>
      <c r="E517" s="8">
        <f t="shared" si="51"/>
        <v>1.0799999999999998</v>
      </c>
      <c r="H517" s="8"/>
      <c r="J517" s="40"/>
    </row>
    <row r="518" spans="1:10" x14ac:dyDescent="0.35">
      <c r="A518" s="18"/>
      <c r="B518" s="13" t="s">
        <v>13</v>
      </c>
      <c r="C518" s="7">
        <v>5.0000000000000001E-3</v>
      </c>
      <c r="D518" s="8">
        <v>118</v>
      </c>
      <c r="E518" s="8">
        <f t="shared" si="51"/>
        <v>0.59</v>
      </c>
      <c r="H518" s="8"/>
      <c r="J518" s="40"/>
    </row>
    <row r="519" spans="1:10" x14ac:dyDescent="0.35">
      <c r="A519" s="18"/>
      <c r="B519" s="13" t="s">
        <v>86</v>
      </c>
      <c r="C519" s="7">
        <v>1E-3</v>
      </c>
      <c r="D519" s="8">
        <v>644</v>
      </c>
      <c r="E519" s="8">
        <f t="shared" si="51"/>
        <v>0.64400000000000002</v>
      </c>
      <c r="H519" s="8"/>
      <c r="J519" s="40"/>
    </row>
    <row r="520" spans="1:10" x14ac:dyDescent="0.35">
      <c r="A520" s="18"/>
      <c r="B520" s="13" t="s">
        <v>31</v>
      </c>
      <c r="C520" s="7">
        <v>4.0000000000000001E-3</v>
      </c>
      <c r="D520" s="8">
        <v>220</v>
      </c>
      <c r="E520" s="8">
        <f t="shared" si="51"/>
        <v>0.88</v>
      </c>
      <c r="H520" s="8"/>
      <c r="J520" s="40"/>
    </row>
    <row r="521" spans="1:10" x14ac:dyDescent="0.35">
      <c r="A521" s="18"/>
      <c r="B521" s="13" t="s">
        <v>127</v>
      </c>
      <c r="C521" s="7">
        <v>5.0000000000000001E-3</v>
      </c>
      <c r="D521" s="8">
        <v>180</v>
      </c>
      <c r="E521" s="8">
        <f t="shared" si="51"/>
        <v>0.9</v>
      </c>
      <c r="H521" s="8"/>
      <c r="J521" s="40"/>
    </row>
    <row r="522" spans="1:10" x14ac:dyDescent="0.35">
      <c r="A522" s="18"/>
      <c r="B522" s="13"/>
      <c r="C522" s="7"/>
      <c r="D522" s="8"/>
      <c r="E522" s="8"/>
      <c r="H522" s="8"/>
      <c r="J522" s="40"/>
    </row>
    <row r="523" spans="1:10" x14ac:dyDescent="0.35">
      <c r="A523" s="18"/>
      <c r="B523" s="13"/>
      <c r="C523" s="7"/>
      <c r="D523" s="8"/>
      <c r="E523" s="8"/>
      <c r="H523" s="8"/>
      <c r="J523" s="40"/>
    </row>
    <row r="524" spans="1:10" x14ac:dyDescent="0.35">
      <c r="A524" s="18"/>
      <c r="B524" s="13"/>
      <c r="C524" s="7"/>
      <c r="D524" s="8"/>
      <c r="E524" s="8"/>
      <c r="H524" s="8"/>
      <c r="J524" s="40"/>
    </row>
    <row r="525" spans="1:10" x14ac:dyDescent="0.35">
      <c r="A525" s="18"/>
      <c r="C525" s="19"/>
      <c r="D525" s="8"/>
      <c r="E525" s="20">
        <f>SUM(E514:E524)</f>
        <v>29.303999999999998</v>
      </c>
      <c r="H525" s="8"/>
      <c r="J525" s="40"/>
    </row>
    <row r="526" spans="1:10" x14ac:dyDescent="0.35">
      <c r="J526" s="40"/>
    </row>
    <row r="527" spans="1:10" x14ac:dyDescent="0.35">
      <c r="J527" s="40"/>
    </row>
    <row r="528" spans="1:10" ht="15.6" x14ac:dyDescent="0.3">
      <c r="A528" s="30" t="s">
        <v>43</v>
      </c>
      <c r="B528" t="s">
        <v>1</v>
      </c>
      <c r="C528" s="7" t="s">
        <v>2</v>
      </c>
      <c r="D528" s="8" t="s">
        <v>3</v>
      </c>
      <c r="E528" s="8" t="s">
        <v>4</v>
      </c>
      <c r="F528" t="s">
        <v>5</v>
      </c>
      <c r="G528" t="s">
        <v>6</v>
      </c>
      <c r="H528" s="9" t="s">
        <v>7</v>
      </c>
      <c r="I528" s="10" t="s">
        <v>8</v>
      </c>
      <c r="J528" s="38" t="s">
        <v>137</v>
      </c>
    </row>
    <row r="529" spans="1:10" ht="18" x14ac:dyDescent="0.35">
      <c r="A529" s="12">
        <v>50</v>
      </c>
      <c r="B529" s="13" t="s">
        <v>91</v>
      </c>
      <c r="C529" s="7">
        <v>6</v>
      </c>
      <c r="D529" s="8">
        <v>0.7</v>
      </c>
      <c r="E529" s="8">
        <f t="shared" ref="E529:E535" si="52">C529*D529</f>
        <v>4.1999999999999993</v>
      </c>
      <c r="F529" s="14">
        <f>E538</f>
        <v>18.563999999999993</v>
      </c>
      <c r="G529">
        <v>1</v>
      </c>
      <c r="H529" s="15">
        <f>F529/G529</f>
        <v>18.563999999999993</v>
      </c>
      <c r="I529" s="16">
        <v>60</v>
      </c>
      <c r="J529" s="40">
        <f t="shared" si="50"/>
        <v>30.939999999999991</v>
      </c>
    </row>
    <row r="530" spans="1:10" ht="18" x14ac:dyDescent="0.35">
      <c r="A530" s="17" t="s">
        <v>90</v>
      </c>
      <c r="B530" s="13" t="s">
        <v>126</v>
      </c>
      <c r="C530" s="7">
        <v>0.05</v>
      </c>
      <c r="D530" s="8">
        <v>94</v>
      </c>
      <c r="E530" s="8">
        <f t="shared" si="52"/>
        <v>4.7</v>
      </c>
      <c r="H530" s="8"/>
      <c r="J530" s="40"/>
    </row>
    <row r="531" spans="1:10" x14ac:dyDescent="0.35">
      <c r="A531" s="18"/>
      <c r="B531" s="13" t="s">
        <v>12</v>
      </c>
      <c r="C531" s="7">
        <v>2.1000000000000001E-2</v>
      </c>
      <c r="D531" s="8">
        <v>60</v>
      </c>
      <c r="E531" s="8">
        <f t="shared" si="52"/>
        <v>1.26</v>
      </c>
      <c r="H531" s="8"/>
      <c r="J531" s="40"/>
    </row>
    <row r="532" spans="1:10" x14ac:dyDescent="0.35">
      <c r="A532" s="18"/>
      <c r="B532" s="13" t="s">
        <v>13</v>
      </c>
      <c r="C532" s="7">
        <v>0.01</v>
      </c>
      <c r="D532" s="8">
        <v>118</v>
      </c>
      <c r="E532" s="8">
        <f t="shared" si="52"/>
        <v>1.18</v>
      </c>
      <c r="H532" s="8"/>
      <c r="J532" s="40"/>
    </row>
    <row r="533" spans="1:10" x14ac:dyDescent="0.35">
      <c r="A533" s="18"/>
      <c r="B533" s="13" t="s">
        <v>31</v>
      </c>
      <c r="C533" s="7">
        <v>2.5000000000000001E-2</v>
      </c>
      <c r="D533" s="8">
        <v>220</v>
      </c>
      <c r="E533" s="8">
        <f t="shared" si="52"/>
        <v>5.5</v>
      </c>
      <c r="H533" s="8"/>
      <c r="J533" s="40"/>
    </row>
    <row r="534" spans="1:10" x14ac:dyDescent="0.35">
      <c r="A534" s="18"/>
      <c r="B534" s="13" t="s">
        <v>94</v>
      </c>
      <c r="C534" s="7">
        <v>1.7999999999999999E-2</v>
      </c>
      <c r="D534" s="8">
        <v>60</v>
      </c>
      <c r="E534" s="8">
        <f t="shared" si="52"/>
        <v>1.0799999999999998</v>
      </c>
      <c r="H534" s="8"/>
      <c r="J534" s="40"/>
    </row>
    <row r="535" spans="1:10" x14ac:dyDescent="0.35">
      <c r="A535" s="18"/>
      <c r="B535" s="13" t="s">
        <v>86</v>
      </c>
      <c r="C535" s="7">
        <v>1E-3</v>
      </c>
      <c r="D535" s="8">
        <v>644</v>
      </c>
      <c r="E535" s="8">
        <f t="shared" si="52"/>
        <v>0.64400000000000002</v>
      </c>
      <c r="H535" s="8"/>
      <c r="J535" s="40"/>
    </row>
    <row r="536" spans="1:10" x14ac:dyDescent="0.35">
      <c r="A536" s="18"/>
      <c r="B536" s="13"/>
      <c r="C536" s="7"/>
      <c r="D536" s="8"/>
      <c r="E536" s="8"/>
      <c r="H536" s="8"/>
      <c r="J536" s="40"/>
    </row>
    <row r="537" spans="1:10" x14ac:dyDescent="0.35">
      <c r="A537" s="18"/>
      <c r="B537" s="13"/>
      <c r="C537" s="7"/>
      <c r="D537" s="8"/>
      <c r="E537" s="8"/>
      <c r="H537" s="8"/>
      <c r="J537" s="40"/>
    </row>
    <row r="538" spans="1:10" x14ac:dyDescent="0.35">
      <c r="A538" s="18"/>
      <c r="C538" s="19"/>
      <c r="D538" s="8"/>
      <c r="E538" s="20">
        <f>SUM(E529:E537)</f>
        <v>18.563999999999993</v>
      </c>
      <c r="H538" s="8"/>
      <c r="J538" s="40"/>
    </row>
    <row r="539" spans="1:10" x14ac:dyDescent="0.35">
      <c r="J539" s="40"/>
    </row>
    <row r="540" spans="1:10" x14ac:dyDescent="0.35">
      <c r="J540" s="40"/>
    </row>
    <row r="541" spans="1:10" ht="15.6" x14ac:dyDescent="0.3">
      <c r="A541" s="30" t="s">
        <v>43</v>
      </c>
      <c r="B541" t="s">
        <v>1</v>
      </c>
      <c r="C541" s="7" t="s">
        <v>2</v>
      </c>
      <c r="D541" s="8" t="s">
        <v>3</v>
      </c>
      <c r="E541" s="8" t="s">
        <v>4</v>
      </c>
      <c r="F541" t="s">
        <v>5</v>
      </c>
      <c r="G541" t="s">
        <v>6</v>
      </c>
      <c r="H541" s="9" t="s">
        <v>7</v>
      </c>
      <c r="I541" s="10" t="s">
        <v>8</v>
      </c>
      <c r="J541" s="38" t="s">
        <v>137</v>
      </c>
    </row>
    <row r="542" spans="1:10" ht="18" x14ac:dyDescent="0.35">
      <c r="A542" s="12">
        <v>51</v>
      </c>
      <c r="B542" s="13" t="s">
        <v>91</v>
      </c>
      <c r="C542" s="7">
        <v>7</v>
      </c>
      <c r="D542" s="8">
        <v>0.7</v>
      </c>
      <c r="E542" s="8">
        <f t="shared" ref="E542:E553" si="53">C542*D542</f>
        <v>4.8999999999999995</v>
      </c>
      <c r="F542" s="14">
        <f>E554</f>
        <v>35.085999999999999</v>
      </c>
      <c r="G542">
        <v>1</v>
      </c>
      <c r="H542" s="15">
        <f>F542/G542</f>
        <v>35.085999999999999</v>
      </c>
      <c r="I542" s="16">
        <v>60</v>
      </c>
      <c r="J542" s="40">
        <f t="shared" si="50"/>
        <v>58.476666666666667</v>
      </c>
    </row>
    <row r="543" spans="1:10" ht="18" x14ac:dyDescent="0.35">
      <c r="A543" s="17" t="s">
        <v>97</v>
      </c>
      <c r="B543" s="13" t="s">
        <v>99</v>
      </c>
      <c r="C543" s="7">
        <v>5.0000000000000001E-3</v>
      </c>
      <c r="D543" s="8">
        <v>204</v>
      </c>
      <c r="E543" s="8">
        <f t="shared" si="53"/>
        <v>1.02</v>
      </c>
      <c r="H543" s="8"/>
      <c r="J543" s="40"/>
    </row>
    <row r="544" spans="1:10" ht="18" x14ac:dyDescent="0.35">
      <c r="A544" s="17"/>
      <c r="B544" s="13" t="s">
        <v>11</v>
      </c>
      <c r="C544" s="7">
        <v>0.17</v>
      </c>
      <c r="D544" s="8">
        <v>111</v>
      </c>
      <c r="E544" s="8">
        <f t="shared" si="53"/>
        <v>18.87</v>
      </c>
      <c r="H544" s="8"/>
      <c r="J544" s="40"/>
    </row>
    <row r="545" spans="1:10" ht="18" x14ac:dyDescent="0.35">
      <c r="A545" s="17"/>
      <c r="B545" s="13" t="s">
        <v>12</v>
      </c>
      <c r="C545" s="7">
        <v>2.1000000000000001E-2</v>
      </c>
      <c r="D545" s="8">
        <v>46</v>
      </c>
      <c r="E545" s="8">
        <f t="shared" si="53"/>
        <v>0.96600000000000008</v>
      </c>
      <c r="H545" s="8"/>
      <c r="J545" s="40"/>
    </row>
    <row r="546" spans="1:10" x14ac:dyDescent="0.35">
      <c r="A546" s="18"/>
      <c r="B546" s="13" t="s">
        <v>13</v>
      </c>
      <c r="C546" s="7">
        <v>1.2999999999999999E-2</v>
      </c>
      <c r="D546" s="8">
        <v>92</v>
      </c>
      <c r="E546" s="8">
        <f t="shared" si="53"/>
        <v>1.196</v>
      </c>
      <c r="H546" s="8"/>
      <c r="J546" s="40"/>
    </row>
    <row r="547" spans="1:10" x14ac:dyDescent="0.35">
      <c r="A547" s="18"/>
      <c r="B547" s="13" t="s">
        <v>31</v>
      </c>
      <c r="C547" s="7">
        <v>6.0000000000000001E-3</v>
      </c>
      <c r="D547" s="8">
        <v>184</v>
      </c>
      <c r="E547" s="8">
        <f t="shared" si="53"/>
        <v>1.1040000000000001</v>
      </c>
      <c r="H547" s="8"/>
      <c r="J547" s="40"/>
    </row>
    <row r="548" spans="1:10" x14ac:dyDescent="0.35">
      <c r="A548" s="18"/>
      <c r="B548" s="13" t="s">
        <v>86</v>
      </c>
      <c r="C548" s="7">
        <v>1E-3</v>
      </c>
      <c r="D548" s="8">
        <v>340</v>
      </c>
      <c r="E548" s="8">
        <f t="shared" si="53"/>
        <v>0.34</v>
      </c>
      <c r="H548" s="8"/>
      <c r="J548" s="40"/>
    </row>
    <row r="549" spans="1:10" x14ac:dyDescent="0.35">
      <c r="A549" s="18"/>
      <c r="B549" s="13" t="s">
        <v>87</v>
      </c>
      <c r="C549" s="7">
        <v>1E-3</v>
      </c>
      <c r="D549" s="8">
        <v>450</v>
      </c>
      <c r="E549" s="8">
        <f t="shared" si="53"/>
        <v>0.45</v>
      </c>
      <c r="H549" s="8"/>
      <c r="J549" s="40"/>
    </row>
    <row r="550" spans="1:10" x14ac:dyDescent="0.35">
      <c r="A550" s="18"/>
      <c r="B550" s="13" t="s">
        <v>95</v>
      </c>
      <c r="C550" s="7">
        <v>3.0000000000000001E-3</v>
      </c>
      <c r="D550" s="8">
        <v>180</v>
      </c>
      <c r="E550" s="8">
        <f t="shared" si="53"/>
        <v>0.54</v>
      </c>
      <c r="H550" s="8"/>
      <c r="J550" s="40"/>
    </row>
    <row r="551" spans="1:10" x14ac:dyDescent="0.35">
      <c r="B551" s="13" t="s">
        <v>16</v>
      </c>
      <c r="C551" s="7">
        <v>1</v>
      </c>
      <c r="D551" s="8">
        <v>0.5</v>
      </c>
      <c r="E551" s="8">
        <f t="shared" si="53"/>
        <v>0.5</v>
      </c>
      <c r="H551" s="8"/>
      <c r="J551" s="40"/>
    </row>
    <row r="552" spans="1:10" x14ac:dyDescent="0.35">
      <c r="A552" s="18"/>
      <c r="B552" s="13" t="s">
        <v>89</v>
      </c>
      <c r="C552" s="7">
        <v>1</v>
      </c>
      <c r="D552" s="8">
        <v>4.8</v>
      </c>
      <c r="E552" s="8">
        <f t="shared" si="53"/>
        <v>4.8</v>
      </c>
      <c r="H552" s="8"/>
      <c r="J552" s="40"/>
    </row>
    <row r="553" spans="1:10" x14ac:dyDescent="0.35">
      <c r="A553" s="6"/>
      <c r="B553" s="13" t="s">
        <v>17</v>
      </c>
      <c r="C553" s="7">
        <v>1</v>
      </c>
      <c r="D553" s="8">
        <v>0.4</v>
      </c>
      <c r="E553" s="8">
        <f t="shared" si="53"/>
        <v>0.4</v>
      </c>
      <c r="H553" s="8"/>
      <c r="J553" s="40"/>
    </row>
    <row r="554" spans="1:10" x14ac:dyDescent="0.35">
      <c r="B554" s="13"/>
      <c r="C554" s="19"/>
      <c r="D554" s="8"/>
      <c r="E554" s="20">
        <f>SUM(E542:E553)</f>
        <v>35.085999999999999</v>
      </c>
      <c r="H554" s="8"/>
      <c r="J554" s="40"/>
    </row>
    <row r="555" spans="1:10" ht="18" x14ac:dyDescent="0.35">
      <c r="A555" s="12"/>
      <c r="H555" s="8"/>
      <c r="J555" s="40"/>
    </row>
    <row r="556" spans="1:10" x14ac:dyDescent="0.35">
      <c r="A556" s="30" t="s">
        <v>43</v>
      </c>
      <c r="B556" s="13"/>
      <c r="C556" s="7"/>
      <c r="D556" s="8"/>
      <c r="E556" s="8"/>
      <c r="H556" s="8"/>
      <c r="J556" s="40"/>
    </row>
    <row r="557" spans="1:10" ht="18" x14ac:dyDescent="0.3">
      <c r="A557" s="12">
        <v>52</v>
      </c>
      <c r="B557" t="s">
        <v>1</v>
      </c>
      <c r="C557" s="7" t="s">
        <v>2</v>
      </c>
      <c r="D557" s="8" t="s">
        <v>3</v>
      </c>
      <c r="E557" s="8" t="s">
        <v>4</v>
      </c>
      <c r="F557" t="s">
        <v>5</v>
      </c>
      <c r="G557" t="s">
        <v>6</v>
      </c>
      <c r="H557" s="9" t="s">
        <v>7</v>
      </c>
      <c r="I557" s="10" t="s">
        <v>8</v>
      </c>
      <c r="J557" s="38" t="s">
        <v>137</v>
      </c>
    </row>
    <row r="558" spans="1:10" ht="18" x14ac:dyDescent="0.35">
      <c r="A558" s="17" t="s">
        <v>100</v>
      </c>
      <c r="B558" s="13" t="s">
        <v>101</v>
      </c>
      <c r="C558" s="7">
        <v>1</v>
      </c>
      <c r="D558" s="8">
        <v>2.5</v>
      </c>
      <c r="E558" s="8">
        <f>C558*D558</f>
        <v>2.5</v>
      </c>
      <c r="F558" s="14">
        <f>E570</f>
        <v>29.543999999999997</v>
      </c>
      <c r="G558">
        <v>1</v>
      </c>
      <c r="H558" s="15">
        <f>F558/G558</f>
        <v>29.543999999999997</v>
      </c>
      <c r="I558" s="16">
        <v>90</v>
      </c>
      <c r="J558" s="40">
        <f t="shared" ref="J558:J599" si="54">H558/I558*100</f>
        <v>32.826666666666668</v>
      </c>
    </row>
    <row r="559" spans="1:10" ht="18" x14ac:dyDescent="0.35">
      <c r="A559" s="12"/>
      <c r="B559" s="13" t="s">
        <v>91</v>
      </c>
      <c r="C559" s="7">
        <v>4</v>
      </c>
      <c r="D559" s="8">
        <v>0.7</v>
      </c>
      <c r="E559" s="8">
        <f t="shared" ref="E559:E569" si="55">C559*D559</f>
        <v>2.8</v>
      </c>
      <c r="J559" s="40"/>
    </row>
    <row r="560" spans="1:10" ht="18" x14ac:dyDescent="0.35">
      <c r="A560" s="17"/>
      <c r="B560" s="13" t="s">
        <v>99</v>
      </c>
      <c r="C560" s="7">
        <v>5.0000000000000001E-3</v>
      </c>
      <c r="D560" s="8">
        <v>204</v>
      </c>
      <c r="E560" s="8">
        <f t="shared" si="55"/>
        <v>1.02</v>
      </c>
      <c r="H560" s="8"/>
      <c r="J560" s="40"/>
    </row>
    <row r="561" spans="1:10" ht="18" x14ac:dyDescent="0.35">
      <c r="A561" s="17"/>
      <c r="B561" s="13" t="s">
        <v>11</v>
      </c>
      <c r="C561" s="7">
        <v>0.16</v>
      </c>
      <c r="D561" s="8">
        <v>111</v>
      </c>
      <c r="E561" s="8">
        <f t="shared" si="55"/>
        <v>17.760000000000002</v>
      </c>
      <c r="H561" s="8"/>
      <c r="J561" s="40"/>
    </row>
    <row r="562" spans="1:10" x14ac:dyDescent="0.35">
      <c r="A562" s="18"/>
      <c r="B562" s="13" t="s">
        <v>12</v>
      </c>
      <c r="C562" s="7">
        <v>1.4999999999999999E-2</v>
      </c>
      <c r="D562" s="8">
        <v>46</v>
      </c>
      <c r="E562" s="8">
        <f t="shared" si="55"/>
        <v>0.69</v>
      </c>
      <c r="H562" s="8"/>
      <c r="J562" s="40"/>
    </row>
    <row r="563" spans="1:10" x14ac:dyDescent="0.35">
      <c r="A563" s="18"/>
      <c r="B563" s="13" t="s">
        <v>13</v>
      </c>
      <c r="C563" s="7">
        <v>7.0000000000000001E-3</v>
      </c>
      <c r="D563" s="8">
        <v>92</v>
      </c>
      <c r="E563" s="8">
        <f t="shared" si="55"/>
        <v>0.64400000000000002</v>
      </c>
      <c r="H563" s="8"/>
      <c r="J563" s="40"/>
    </row>
    <row r="564" spans="1:10" x14ac:dyDescent="0.35">
      <c r="A564" s="18"/>
      <c r="B564" s="13" t="s">
        <v>86</v>
      </c>
      <c r="C564" s="7">
        <v>1E-3</v>
      </c>
      <c r="D564" s="8">
        <v>340</v>
      </c>
      <c r="E564" s="8">
        <f t="shared" si="55"/>
        <v>0.34</v>
      </c>
      <c r="H564" s="8"/>
      <c r="J564" s="40"/>
    </row>
    <row r="565" spans="1:10" x14ac:dyDescent="0.35">
      <c r="A565" s="18"/>
      <c r="B565" s="13" t="s">
        <v>87</v>
      </c>
      <c r="C565" s="7">
        <v>1E-3</v>
      </c>
      <c r="D565" s="8">
        <v>450</v>
      </c>
      <c r="E565" s="8">
        <f t="shared" si="55"/>
        <v>0.45</v>
      </c>
      <c r="H565" s="8"/>
      <c r="J565" s="40"/>
    </row>
    <row r="566" spans="1:10" x14ac:dyDescent="0.35">
      <c r="B566" s="13" t="s">
        <v>95</v>
      </c>
      <c r="C566" s="7">
        <v>3.0000000000000001E-3</v>
      </c>
      <c r="D566" s="8">
        <v>180</v>
      </c>
      <c r="E566" s="8">
        <f t="shared" si="55"/>
        <v>0.54</v>
      </c>
      <c r="H566" s="8"/>
      <c r="J566" s="40"/>
    </row>
    <row r="567" spans="1:10" x14ac:dyDescent="0.35">
      <c r="A567" s="18"/>
      <c r="B567" s="13" t="s">
        <v>16</v>
      </c>
      <c r="C567" s="7">
        <v>1</v>
      </c>
      <c r="D567" s="8">
        <v>0.5</v>
      </c>
      <c r="E567" s="8">
        <f t="shared" si="55"/>
        <v>0.5</v>
      </c>
      <c r="H567" s="8"/>
      <c r="J567" s="40"/>
    </row>
    <row r="568" spans="1:10" x14ac:dyDescent="0.35">
      <c r="A568" s="6"/>
      <c r="B568" s="13" t="s">
        <v>32</v>
      </c>
      <c r="C568" s="7">
        <v>1</v>
      </c>
      <c r="D568" s="8">
        <v>4.4000000000000004</v>
      </c>
      <c r="E568" s="8">
        <f t="shared" si="55"/>
        <v>4.4000000000000004</v>
      </c>
      <c r="H568" s="8"/>
      <c r="J568" s="40"/>
    </row>
    <row r="569" spans="1:10" x14ac:dyDescent="0.35">
      <c r="B569" s="13" t="s">
        <v>17</v>
      </c>
      <c r="C569" s="7">
        <v>1</v>
      </c>
      <c r="D569" s="8">
        <v>0.4</v>
      </c>
      <c r="E569" s="8">
        <f t="shared" si="55"/>
        <v>0.4</v>
      </c>
      <c r="H569" s="8"/>
      <c r="J569" s="40"/>
    </row>
    <row r="570" spans="1:10" ht="18" x14ac:dyDescent="0.35">
      <c r="A570" s="12"/>
      <c r="B570" s="13"/>
      <c r="C570" s="19"/>
      <c r="D570" s="8"/>
      <c r="E570" s="20">
        <f>SUM(E559:E569)</f>
        <v>29.543999999999997</v>
      </c>
      <c r="H570" s="8"/>
      <c r="J570" s="40"/>
    </row>
    <row r="571" spans="1:10" x14ac:dyDescent="0.35">
      <c r="A571" s="30" t="s">
        <v>43</v>
      </c>
      <c r="B571" s="13"/>
      <c r="C571" s="7"/>
      <c r="D571" s="8"/>
      <c r="E571" s="8"/>
      <c r="H571" s="8"/>
      <c r="J571" s="40"/>
    </row>
    <row r="572" spans="1:10" ht="18" x14ac:dyDescent="0.3">
      <c r="A572" s="12">
        <v>53</v>
      </c>
      <c r="B572" t="s">
        <v>1</v>
      </c>
      <c r="C572" s="7" t="s">
        <v>2</v>
      </c>
      <c r="D572" s="8" t="s">
        <v>3</v>
      </c>
      <c r="E572" s="8" t="s">
        <v>4</v>
      </c>
      <c r="F572" t="s">
        <v>5</v>
      </c>
      <c r="G572" t="s">
        <v>6</v>
      </c>
      <c r="H572" s="9" t="s">
        <v>7</v>
      </c>
      <c r="I572" s="10" t="s">
        <v>8</v>
      </c>
      <c r="J572" s="38" t="s">
        <v>137</v>
      </c>
    </row>
    <row r="573" spans="1:10" ht="18" x14ac:dyDescent="0.35">
      <c r="A573" s="17" t="s">
        <v>102</v>
      </c>
      <c r="B573" s="13" t="s">
        <v>101</v>
      </c>
      <c r="C573" s="7">
        <v>3</v>
      </c>
      <c r="D573" s="8">
        <v>3.3</v>
      </c>
      <c r="E573" s="8">
        <f>C573*D573</f>
        <v>9.8999999999999986</v>
      </c>
      <c r="F573" s="14">
        <f>E582</f>
        <v>13.588000000000001</v>
      </c>
      <c r="G573">
        <v>1</v>
      </c>
      <c r="H573" s="15">
        <f>F573/G573</f>
        <v>13.588000000000001</v>
      </c>
      <c r="I573" s="16">
        <v>130</v>
      </c>
      <c r="J573" s="40">
        <f t="shared" si="54"/>
        <v>10.452307692307693</v>
      </c>
    </row>
    <row r="574" spans="1:10" ht="18" x14ac:dyDescent="0.35">
      <c r="A574" s="17"/>
      <c r="B574" s="13" t="s">
        <v>11</v>
      </c>
      <c r="C574" s="7">
        <v>0.12</v>
      </c>
      <c r="D574" s="8">
        <v>85</v>
      </c>
      <c r="E574" s="8">
        <f t="shared" ref="E574:E578" si="56">C574*D574</f>
        <v>10.199999999999999</v>
      </c>
      <c r="H574" s="8"/>
      <c r="J574" s="40"/>
    </row>
    <row r="575" spans="1:10" x14ac:dyDescent="0.35">
      <c r="A575" s="18"/>
      <c r="B575" s="13" t="s">
        <v>12</v>
      </c>
      <c r="C575" s="7">
        <v>1.4999999999999999E-2</v>
      </c>
      <c r="D575" s="8">
        <v>60</v>
      </c>
      <c r="E575" s="8">
        <f t="shared" si="56"/>
        <v>0.89999999999999991</v>
      </c>
      <c r="H575" s="8"/>
      <c r="J575" s="40"/>
    </row>
    <row r="576" spans="1:10" x14ac:dyDescent="0.35">
      <c r="A576" s="18"/>
      <c r="B576" s="13" t="s">
        <v>13</v>
      </c>
      <c r="C576" s="7">
        <v>8.0000000000000002E-3</v>
      </c>
      <c r="D576" s="8">
        <v>118</v>
      </c>
      <c r="E576" s="8">
        <f t="shared" si="56"/>
        <v>0.94400000000000006</v>
      </c>
      <c r="H576" s="8"/>
      <c r="J576" s="40"/>
    </row>
    <row r="577" spans="1:10" x14ac:dyDescent="0.35">
      <c r="A577" s="18"/>
      <c r="B577" s="13" t="s">
        <v>86</v>
      </c>
      <c r="C577" s="7">
        <v>1E-3</v>
      </c>
      <c r="D577" s="8">
        <v>644</v>
      </c>
      <c r="E577" s="8">
        <f t="shared" si="56"/>
        <v>0.64400000000000002</v>
      </c>
      <c r="H577" s="8"/>
      <c r="J577" s="40"/>
    </row>
    <row r="578" spans="1:10" x14ac:dyDescent="0.35">
      <c r="B578" s="13" t="s">
        <v>95</v>
      </c>
      <c r="C578" s="7">
        <v>5.0000000000000001E-3</v>
      </c>
      <c r="D578" s="8">
        <v>180</v>
      </c>
      <c r="E578" s="8">
        <f t="shared" si="56"/>
        <v>0.9</v>
      </c>
      <c r="H578" s="8"/>
      <c r="J578" s="40"/>
    </row>
    <row r="579" spans="1:10" x14ac:dyDescent="0.35">
      <c r="A579" s="18"/>
      <c r="B579" s="13"/>
      <c r="C579" s="7"/>
      <c r="D579" s="8"/>
      <c r="E579" s="8"/>
      <c r="H579" s="8"/>
      <c r="J579" s="40"/>
    </row>
    <row r="580" spans="1:10" x14ac:dyDescent="0.35">
      <c r="A580" s="6"/>
      <c r="B580" s="13"/>
      <c r="C580" s="7"/>
      <c r="D580" s="8"/>
      <c r="E580" s="8"/>
      <c r="H580" s="8"/>
      <c r="J580" s="40"/>
    </row>
    <row r="581" spans="1:10" x14ac:dyDescent="0.35">
      <c r="B581" s="13"/>
      <c r="C581" s="7"/>
      <c r="D581" s="8"/>
      <c r="E581" s="8"/>
      <c r="H581" s="8"/>
      <c r="J581" s="40"/>
    </row>
    <row r="582" spans="1:10" ht="18" x14ac:dyDescent="0.35">
      <c r="A582" s="12"/>
      <c r="B582" s="13"/>
      <c r="C582" s="19"/>
      <c r="D582" s="8"/>
      <c r="E582" s="20">
        <f>SUM(E574:E581)</f>
        <v>13.588000000000001</v>
      </c>
      <c r="H582" s="8"/>
      <c r="J582" s="40"/>
    </row>
    <row r="583" spans="1:10" x14ac:dyDescent="0.35">
      <c r="A583" s="30" t="s">
        <v>43</v>
      </c>
      <c r="B583" s="13"/>
      <c r="C583" s="25"/>
      <c r="D583" s="8"/>
      <c r="E583" s="8"/>
      <c r="H583" s="8"/>
      <c r="J583" s="40"/>
    </row>
    <row r="584" spans="1:10" ht="18" x14ac:dyDescent="0.3">
      <c r="A584" s="12">
        <v>56</v>
      </c>
      <c r="B584" t="s">
        <v>1</v>
      </c>
      <c r="C584" s="7" t="s">
        <v>2</v>
      </c>
      <c r="D584" s="8" t="s">
        <v>3</v>
      </c>
      <c r="E584" s="8" t="s">
        <v>4</v>
      </c>
      <c r="F584" t="s">
        <v>5</v>
      </c>
      <c r="G584" t="s">
        <v>6</v>
      </c>
      <c r="H584" s="9" t="s">
        <v>7</v>
      </c>
      <c r="I584" s="10" t="s">
        <v>8</v>
      </c>
      <c r="J584" s="38" t="s">
        <v>137</v>
      </c>
    </row>
    <row r="585" spans="1:10" ht="18" x14ac:dyDescent="0.35">
      <c r="A585" s="17" t="s">
        <v>103</v>
      </c>
      <c r="B585" s="13" t="s">
        <v>104</v>
      </c>
      <c r="C585" s="7">
        <v>4.4999999999999998E-2</v>
      </c>
      <c r="D585" s="8">
        <v>120</v>
      </c>
      <c r="E585" s="8">
        <f>C585*D585</f>
        <v>5.3999999999999995</v>
      </c>
      <c r="F585" s="14">
        <f>E596</f>
        <v>23.921999999999997</v>
      </c>
      <c r="G585">
        <v>1</v>
      </c>
      <c r="H585" s="15">
        <f>F585/G585</f>
        <v>23.921999999999997</v>
      </c>
      <c r="I585" s="16">
        <v>85</v>
      </c>
      <c r="J585" s="40">
        <f t="shared" si="54"/>
        <v>28.1435294117647</v>
      </c>
    </row>
    <row r="586" spans="1:10" ht="18" x14ac:dyDescent="0.35">
      <c r="A586" s="17"/>
      <c r="B586" s="13" t="s">
        <v>105</v>
      </c>
      <c r="C586" s="7">
        <v>2.5000000000000001E-2</v>
      </c>
      <c r="D586" s="8">
        <v>220</v>
      </c>
      <c r="E586" s="8">
        <f t="shared" ref="E586:E592" si="57">C586*D586</f>
        <v>5.5</v>
      </c>
      <c r="H586" s="8"/>
      <c r="J586" s="40"/>
    </row>
    <row r="587" spans="1:10" ht="18" x14ac:dyDescent="0.35">
      <c r="A587" s="17"/>
      <c r="B587" s="13" t="s">
        <v>11</v>
      </c>
      <c r="C587" s="7">
        <v>0.13</v>
      </c>
      <c r="D587" s="8">
        <v>85</v>
      </c>
      <c r="E587" s="8">
        <f t="shared" si="57"/>
        <v>11.05</v>
      </c>
      <c r="H587" s="8"/>
      <c r="J587" s="40"/>
    </row>
    <row r="588" spans="1:10" x14ac:dyDescent="0.35">
      <c r="A588" s="18"/>
      <c r="B588" s="13" t="s">
        <v>12</v>
      </c>
      <c r="C588" s="7">
        <v>0.04</v>
      </c>
      <c r="D588" s="8">
        <v>60</v>
      </c>
      <c r="E588" s="8">
        <f t="shared" si="57"/>
        <v>2.4</v>
      </c>
      <c r="H588" s="8"/>
      <c r="J588" s="40"/>
    </row>
    <row r="589" spans="1:10" x14ac:dyDescent="0.35">
      <c r="A589" s="18"/>
      <c r="B589" s="13" t="s">
        <v>13</v>
      </c>
      <c r="C589" s="7">
        <v>8.0000000000000002E-3</v>
      </c>
      <c r="D589" s="8">
        <v>118</v>
      </c>
      <c r="E589" s="8">
        <f t="shared" si="57"/>
        <v>0.94400000000000006</v>
      </c>
      <c r="H589" s="8"/>
      <c r="J589" s="40"/>
    </row>
    <row r="590" spans="1:10" x14ac:dyDescent="0.35">
      <c r="A590" s="18"/>
      <c r="B590" s="13" t="s">
        <v>31</v>
      </c>
      <c r="C590" s="7">
        <v>0.01</v>
      </c>
      <c r="D590" s="8">
        <v>220</v>
      </c>
      <c r="E590" s="8">
        <f t="shared" si="57"/>
        <v>2.2000000000000002</v>
      </c>
      <c r="H590" s="8"/>
      <c r="J590" s="40"/>
    </row>
    <row r="591" spans="1:10" x14ac:dyDescent="0.35">
      <c r="A591" s="18"/>
      <c r="B591" s="13" t="s">
        <v>86</v>
      </c>
      <c r="C591" s="7">
        <v>2E-3</v>
      </c>
      <c r="D591" s="8">
        <v>644</v>
      </c>
      <c r="E591" s="8">
        <f t="shared" si="57"/>
        <v>1.288</v>
      </c>
      <c r="H591" s="8"/>
      <c r="J591" s="40"/>
    </row>
    <row r="592" spans="1:10" x14ac:dyDescent="0.35">
      <c r="B592" s="13" t="s">
        <v>95</v>
      </c>
      <c r="C592" s="7">
        <v>3.0000000000000001E-3</v>
      </c>
      <c r="D592" s="8">
        <v>180</v>
      </c>
      <c r="E592" s="8">
        <f t="shared" si="57"/>
        <v>0.54</v>
      </c>
      <c r="H592" s="8"/>
      <c r="J592" s="40"/>
    </row>
    <row r="593" spans="1:10" x14ac:dyDescent="0.35">
      <c r="A593" s="18"/>
      <c r="B593" s="13"/>
      <c r="C593" s="7"/>
      <c r="D593" s="8"/>
      <c r="E593" s="8"/>
      <c r="H593" s="8"/>
      <c r="J593" s="40"/>
    </row>
    <row r="594" spans="1:10" x14ac:dyDescent="0.35">
      <c r="A594" s="6"/>
      <c r="B594" s="13"/>
      <c r="C594" s="7"/>
      <c r="D594" s="8"/>
      <c r="E594" s="8"/>
      <c r="H594" s="8"/>
      <c r="J594" s="40"/>
    </row>
    <row r="595" spans="1:10" x14ac:dyDescent="0.35">
      <c r="B595" s="13"/>
      <c r="C595" s="7"/>
      <c r="D595" s="8"/>
      <c r="E595" s="8"/>
      <c r="H595" s="8"/>
      <c r="J595" s="40"/>
    </row>
    <row r="596" spans="1:10" ht="18" x14ac:dyDescent="0.35">
      <c r="A596" s="12"/>
      <c r="B596" s="13"/>
      <c r="C596" s="19"/>
      <c r="D596" s="8"/>
      <c r="E596" s="20">
        <f>SUM(E586:E595)</f>
        <v>23.921999999999997</v>
      </c>
      <c r="H596" s="8"/>
      <c r="J596" s="40"/>
    </row>
    <row r="597" spans="1:10" x14ac:dyDescent="0.35">
      <c r="A597" s="30" t="s">
        <v>43</v>
      </c>
      <c r="B597" s="13"/>
      <c r="C597" s="25"/>
      <c r="D597" s="8"/>
      <c r="E597" s="8"/>
      <c r="H597" s="8"/>
      <c r="J597" s="40"/>
    </row>
    <row r="598" spans="1:10" ht="18" x14ac:dyDescent="0.3">
      <c r="A598" s="12">
        <v>57</v>
      </c>
      <c r="B598" t="s">
        <v>1</v>
      </c>
      <c r="C598" s="7" t="s">
        <v>2</v>
      </c>
      <c r="D598" s="8" t="s">
        <v>3</v>
      </c>
      <c r="E598" s="8" t="s">
        <v>4</v>
      </c>
      <c r="F598" t="s">
        <v>5</v>
      </c>
      <c r="G598" t="s">
        <v>6</v>
      </c>
      <c r="H598" s="9" t="s">
        <v>7</v>
      </c>
      <c r="I598" s="10" t="s">
        <v>8</v>
      </c>
      <c r="J598" s="38" t="s">
        <v>137</v>
      </c>
    </row>
    <row r="599" spans="1:10" ht="18" x14ac:dyDescent="0.35">
      <c r="A599" s="17" t="s">
        <v>106</v>
      </c>
      <c r="B599" s="13" t="s">
        <v>107</v>
      </c>
      <c r="C599" s="7">
        <v>1</v>
      </c>
      <c r="D599" s="8">
        <v>9</v>
      </c>
      <c r="E599" s="8">
        <f>C599*D599</f>
        <v>9</v>
      </c>
      <c r="F599" s="14">
        <f>E613</f>
        <v>41.100999999999999</v>
      </c>
      <c r="G599">
        <v>1</v>
      </c>
      <c r="H599" s="15">
        <f>F599/G599</f>
        <v>41.100999999999999</v>
      </c>
      <c r="I599" s="16">
        <v>200</v>
      </c>
      <c r="J599" s="40">
        <f t="shared" si="54"/>
        <v>20.5505</v>
      </c>
    </row>
    <row r="600" spans="1:10" ht="18" x14ac:dyDescent="0.35">
      <c r="A600" s="17"/>
      <c r="B600" s="13" t="s">
        <v>101</v>
      </c>
      <c r="C600" s="7">
        <v>2</v>
      </c>
      <c r="D600" s="8">
        <v>3.3</v>
      </c>
      <c r="E600" s="8">
        <f t="shared" ref="E600:E603" si="58">C600*D600</f>
        <v>6.6</v>
      </c>
      <c r="F600" s="14"/>
      <c r="H600" s="15"/>
      <c r="J600" s="40"/>
    </row>
    <row r="601" spans="1:10" ht="18" x14ac:dyDescent="0.35">
      <c r="A601" s="17"/>
      <c r="B601" s="13" t="s">
        <v>108</v>
      </c>
      <c r="C601" s="7">
        <v>0.04</v>
      </c>
      <c r="D601" s="8">
        <v>94</v>
      </c>
      <c r="E601" s="8">
        <f t="shared" si="58"/>
        <v>3.7600000000000002</v>
      </c>
      <c r="H601" s="8"/>
      <c r="J601" s="40"/>
    </row>
    <row r="602" spans="1:10" ht="18" x14ac:dyDescent="0.35">
      <c r="A602" s="12"/>
      <c r="B602" s="13" t="s">
        <v>109</v>
      </c>
      <c r="C602" s="7">
        <v>2</v>
      </c>
      <c r="D602" s="8">
        <v>0.7</v>
      </c>
      <c r="E602" s="8">
        <f t="shared" si="58"/>
        <v>1.4</v>
      </c>
      <c r="J602" s="40"/>
    </row>
    <row r="603" spans="1:10" ht="18" x14ac:dyDescent="0.35">
      <c r="A603" s="17"/>
      <c r="B603" s="13" t="s">
        <v>11</v>
      </c>
      <c r="C603" s="7">
        <v>0.185</v>
      </c>
      <c r="D603" s="8">
        <v>85</v>
      </c>
      <c r="E603" s="8">
        <f t="shared" si="58"/>
        <v>15.725</v>
      </c>
      <c r="H603" s="8"/>
      <c r="J603" s="40"/>
    </row>
    <row r="604" spans="1:10" x14ac:dyDescent="0.35">
      <c r="A604" s="18"/>
      <c r="B604" s="13" t="s">
        <v>86</v>
      </c>
      <c r="C604" s="7">
        <v>1E-3</v>
      </c>
      <c r="D604" s="8">
        <v>644</v>
      </c>
      <c r="E604" s="8">
        <f>C604*D604</f>
        <v>0.64400000000000002</v>
      </c>
      <c r="H604" s="8"/>
      <c r="J604" s="40"/>
    </row>
    <row r="605" spans="1:10" x14ac:dyDescent="0.35">
      <c r="A605" s="18"/>
      <c r="B605" s="13" t="s">
        <v>31</v>
      </c>
      <c r="C605" s="7">
        <v>7.0000000000000001E-3</v>
      </c>
      <c r="D605" s="8">
        <v>220</v>
      </c>
      <c r="E605" s="8">
        <f t="shared" ref="E605:E609" si="59">C605*D605</f>
        <v>1.54</v>
      </c>
      <c r="H605" s="8"/>
      <c r="J605" s="40"/>
    </row>
    <row r="606" spans="1:10" x14ac:dyDescent="0.35">
      <c r="A606" s="18"/>
      <c r="B606" s="13" t="s">
        <v>110</v>
      </c>
      <c r="C606" s="7">
        <v>0.01</v>
      </c>
      <c r="D606" s="8">
        <v>46</v>
      </c>
      <c r="E606" s="8">
        <f t="shared" si="59"/>
        <v>0.46</v>
      </c>
      <c r="H606" s="8"/>
      <c r="J606" s="40"/>
    </row>
    <row r="607" spans="1:10" x14ac:dyDescent="0.35">
      <c r="A607" s="18"/>
      <c r="B607" s="13" t="s">
        <v>111</v>
      </c>
      <c r="C607" s="7">
        <v>5.0000000000000001E-3</v>
      </c>
      <c r="D607" s="8">
        <v>92</v>
      </c>
      <c r="E607" s="8">
        <f t="shared" si="59"/>
        <v>0.46</v>
      </c>
      <c r="H607" s="8"/>
      <c r="J607" s="40"/>
    </row>
    <row r="608" spans="1:10" x14ac:dyDescent="0.35">
      <c r="B608" s="13" t="s">
        <v>95</v>
      </c>
      <c r="C608" s="7">
        <v>5.0000000000000001E-3</v>
      </c>
      <c r="D608" s="8">
        <v>180</v>
      </c>
      <c r="E608" s="8">
        <f t="shared" si="59"/>
        <v>0.9</v>
      </c>
      <c r="H608" s="8"/>
      <c r="J608" s="40"/>
    </row>
    <row r="609" spans="1:10" x14ac:dyDescent="0.35">
      <c r="B609" s="13" t="s">
        <v>128</v>
      </c>
      <c r="C609" s="7">
        <v>3.0000000000000001E-3</v>
      </c>
      <c r="D609" s="8">
        <v>204</v>
      </c>
      <c r="E609" s="8">
        <f t="shared" si="59"/>
        <v>0.61199999999999999</v>
      </c>
      <c r="H609" s="8"/>
      <c r="J609" s="40"/>
    </row>
    <row r="610" spans="1:10" x14ac:dyDescent="0.35">
      <c r="A610" s="18"/>
      <c r="B610" s="13"/>
      <c r="C610" s="7"/>
      <c r="D610" s="8"/>
      <c r="E610" s="8"/>
      <c r="H610" s="8"/>
      <c r="J610" s="40"/>
    </row>
    <row r="611" spans="1:10" x14ac:dyDescent="0.35">
      <c r="A611" s="6"/>
      <c r="B611" s="13"/>
      <c r="C611" s="7"/>
      <c r="D611" s="8"/>
      <c r="E611" s="8"/>
      <c r="H611" s="8"/>
      <c r="J611" s="40"/>
    </row>
    <row r="612" spans="1:10" x14ac:dyDescent="0.35">
      <c r="B612" s="13"/>
      <c r="C612" s="7"/>
      <c r="D612" s="8"/>
      <c r="E612" s="8"/>
      <c r="H612" s="8"/>
      <c r="J612" s="40"/>
    </row>
    <row r="613" spans="1:10" ht="18" x14ac:dyDescent="0.35">
      <c r="A613" s="12"/>
      <c r="B613" s="13"/>
      <c r="C613" s="19"/>
      <c r="D613" s="8"/>
      <c r="E613" s="20">
        <f>SUM(E599:E612)</f>
        <v>41.100999999999999</v>
      </c>
      <c r="H613" s="8"/>
      <c r="J613" s="40"/>
    </row>
    <row r="614" spans="1:10" x14ac:dyDescent="0.35">
      <c r="A614" s="30" t="s">
        <v>43</v>
      </c>
      <c r="B614" s="13"/>
      <c r="C614" s="25"/>
      <c r="D614" s="8"/>
      <c r="E614" s="8"/>
      <c r="H614" s="8"/>
      <c r="J614" s="40"/>
    </row>
    <row r="615" spans="1:10" ht="18" x14ac:dyDescent="0.3">
      <c r="A615" s="12"/>
      <c r="B615" t="s">
        <v>1</v>
      </c>
      <c r="C615" s="7" t="s">
        <v>2</v>
      </c>
      <c r="D615" s="8" t="s">
        <v>3</v>
      </c>
      <c r="E615" s="8" t="s">
        <v>4</v>
      </c>
      <c r="F615" t="s">
        <v>5</v>
      </c>
      <c r="G615" t="s">
        <v>6</v>
      </c>
      <c r="H615" s="9" t="s">
        <v>7</v>
      </c>
      <c r="I615" s="10" t="s">
        <v>8</v>
      </c>
      <c r="J615" s="38" t="s">
        <v>137</v>
      </c>
    </row>
    <row r="616" spans="1:10" ht="18" x14ac:dyDescent="0.35">
      <c r="A616" s="17" t="s">
        <v>134</v>
      </c>
      <c r="B616" s="13" t="s">
        <v>113</v>
      </c>
      <c r="C616" s="7">
        <v>0.03</v>
      </c>
      <c r="D616" s="8">
        <v>60</v>
      </c>
      <c r="E616" s="8">
        <f>C616*D616</f>
        <v>1.7999999999999998</v>
      </c>
      <c r="F616" s="14">
        <f>E631</f>
        <v>30.583999999999996</v>
      </c>
      <c r="G616">
        <v>1</v>
      </c>
      <c r="H616" s="15">
        <f>F616/G616</f>
        <v>30.583999999999996</v>
      </c>
      <c r="I616" s="16">
        <v>70</v>
      </c>
      <c r="J616" s="40">
        <f t="shared" ref="J616:J650" si="60">H616/I616*100</f>
        <v>43.691428571428567</v>
      </c>
    </row>
    <row r="617" spans="1:10" ht="18" x14ac:dyDescent="0.35">
      <c r="A617" s="17"/>
      <c r="B617" s="13" t="s">
        <v>114</v>
      </c>
      <c r="C617" s="7">
        <v>2.5999999999999999E-2</v>
      </c>
      <c r="D617" s="8">
        <v>135</v>
      </c>
      <c r="E617" s="8">
        <f t="shared" ref="E617:E621" si="61">C617*D617</f>
        <v>3.51</v>
      </c>
      <c r="F617" s="14"/>
      <c r="H617" s="15"/>
      <c r="J617" s="40"/>
    </row>
    <row r="618" spans="1:10" x14ac:dyDescent="0.35">
      <c r="A618" s="37" t="s">
        <v>136</v>
      </c>
      <c r="B618" s="13" t="s">
        <v>98</v>
      </c>
      <c r="C618" s="7">
        <v>2.5000000000000001E-2</v>
      </c>
      <c r="D618" s="8">
        <v>23</v>
      </c>
      <c r="E618" s="8">
        <f t="shared" si="61"/>
        <v>0.57500000000000007</v>
      </c>
      <c r="H618" s="8"/>
      <c r="J618" s="40"/>
    </row>
    <row r="619" spans="1:10" ht="18" x14ac:dyDescent="0.35">
      <c r="A619" s="17"/>
      <c r="B619" s="13" t="s">
        <v>116</v>
      </c>
      <c r="C619" s="7">
        <v>5.0000000000000001E-3</v>
      </c>
      <c r="D619" s="8">
        <v>95</v>
      </c>
      <c r="E619" s="8">
        <f t="shared" si="61"/>
        <v>0.47500000000000003</v>
      </c>
      <c r="H619" s="8"/>
      <c r="J619" s="40"/>
    </row>
    <row r="620" spans="1:10" x14ac:dyDescent="0.35">
      <c r="A620" s="37" t="s">
        <v>135</v>
      </c>
      <c r="B620" s="13" t="s">
        <v>118</v>
      </c>
      <c r="C620" s="7">
        <v>5.0000000000000001E-3</v>
      </c>
      <c r="D620" s="8">
        <v>80</v>
      </c>
      <c r="E620" s="8">
        <f t="shared" si="61"/>
        <v>0.4</v>
      </c>
      <c r="J620" s="40"/>
    </row>
    <row r="621" spans="1:10" x14ac:dyDescent="0.35">
      <c r="A621" s="18"/>
      <c r="B621" s="13" t="s">
        <v>94</v>
      </c>
      <c r="C621" s="7">
        <v>2.5000000000000001E-2</v>
      </c>
      <c r="D621" s="8">
        <v>60</v>
      </c>
      <c r="E621" s="8">
        <f t="shared" si="61"/>
        <v>1.5</v>
      </c>
      <c r="H621" s="8"/>
      <c r="J621" s="40"/>
    </row>
    <row r="622" spans="1:10" x14ac:dyDescent="0.35">
      <c r="A622" s="18"/>
      <c r="B622" s="13" t="s">
        <v>86</v>
      </c>
      <c r="C622" s="7">
        <v>6.0000000000000001E-3</v>
      </c>
      <c r="D622" s="8">
        <v>644</v>
      </c>
      <c r="E622" s="8">
        <f>C622*D622</f>
        <v>3.8639999999999999</v>
      </c>
      <c r="H622" s="8"/>
      <c r="J622" s="40"/>
    </row>
    <row r="623" spans="1:10" x14ac:dyDescent="0.35">
      <c r="A623" s="18"/>
      <c r="B623" s="13" t="s">
        <v>11</v>
      </c>
      <c r="C623" s="7">
        <v>0.11</v>
      </c>
      <c r="D623" s="8">
        <v>85</v>
      </c>
      <c r="E623" s="8">
        <f>C623*D623</f>
        <v>9.35</v>
      </c>
      <c r="H623" s="8"/>
      <c r="J623" s="40"/>
    </row>
    <row r="624" spans="1:10" x14ac:dyDescent="0.35">
      <c r="A624" s="18"/>
      <c r="B624" s="13" t="s">
        <v>12</v>
      </c>
      <c r="C624" s="7">
        <v>4.1000000000000002E-2</v>
      </c>
      <c r="D624" s="8">
        <v>60</v>
      </c>
      <c r="E624" s="8">
        <f t="shared" ref="E624:E627" si="62">C624*D624</f>
        <v>2.46</v>
      </c>
      <c r="H624" s="8"/>
      <c r="J624" s="40"/>
    </row>
    <row r="625" spans="1:10" x14ac:dyDescent="0.35">
      <c r="A625" s="37" t="s">
        <v>135</v>
      </c>
      <c r="B625" s="13" t="s">
        <v>13</v>
      </c>
      <c r="C625" s="7">
        <v>2.5000000000000001E-2</v>
      </c>
      <c r="D625" s="8">
        <v>118</v>
      </c>
      <c r="E625" s="8">
        <f t="shared" si="62"/>
        <v>2.95</v>
      </c>
      <c r="H625" s="8"/>
      <c r="J625" s="40"/>
    </row>
    <row r="626" spans="1:10" x14ac:dyDescent="0.35">
      <c r="A626" s="18"/>
      <c r="B626" s="13" t="s">
        <v>119</v>
      </c>
      <c r="C626" s="7">
        <v>1.4999999999999999E-2</v>
      </c>
      <c r="D626" s="8">
        <v>220</v>
      </c>
      <c r="E626" s="8">
        <f t="shared" si="62"/>
        <v>3.3</v>
      </c>
      <c r="H626" s="8"/>
      <c r="J626" s="40"/>
    </row>
    <row r="627" spans="1:10" x14ac:dyDescent="0.35">
      <c r="B627" s="13" t="s">
        <v>30</v>
      </c>
      <c r="C627" s="7">
        <v>5.0000000000000001E-3</v>
      </c>
      <c r="D627" s="8">
        <v>80</v>
      </c>
      <c r="E627" s="8">
        <f t="shared" si="62"/>
        <v>0.4</v>
      </c>
      <c r="H627" s="8"/>
      <c r="J627" s="40"/>
    </row>
    <row r="628" spans="1:10" x14ac:dyDescent="0.35">
      <c r="A628" s="18"/>
      <c r="B628" s="13"/>
      <c r="C628" s="7"/>
      <c r="D628" s="8"/>
      <c r="E628" s="8"/>
      <c r="H628" s="8"/>
      <c r="J628" s="40"/>
    </row>
    <row r="629" spans="1:10" x14ac:dyDescent="0.35">
      <c r="A629" s="6"/>
      <c r="B629" s="13"/>
      <c r="C629" s="7"/>
      <c r="D629" s="8"/>
      <c r="E629" s="8"/>
      <c r="H629" s="8"/>
      <c r="J629" s="40"/>
    </row>
    <row r="630" spans="1:10" x14ac:dyDescent="0.35">
      <c r="B630" s="13"/>
      <c r="C630" s="7"/>
      <c r="D630" s="8"/>
      <c r="E630" s="8"/>
      <c r="H630" s="8"/>
      <c r="J630" s="40"/>
    </row>
    <row r="631" spans="1:10" x14ac:dyDescent="0.35">
      <c r="A631" s="30" t="s">
        <v>43</v>
      </c>
      <c r="B631" s="13"/>
      <c r="C631" s="19"/>
      <c r="D631" s="8"/>
      <c r="E631" s="20">
        <f>SUM(E616:E630)</f>
        <v>30.583999999999996</v>
      </c>
      <c r="H631" s="8"/>
      <c r="J631" s="40"/>
    </row>
    <row r="632" spans="1:10" ht="18" x14ac:dyDescent="0.3">
      <c r="A632" s="12">
        <v>54</v>
      </c>
      <c r="B632" t="s">
        <v>1</v>
      </c>
      <c r="C632" s="7" t="s">
        <v>2</v>
      </c>
      <c r="D632" s="8" t="s">
        <v>3</v>
      </c>
      <c r="E632" s="8" t="s">
        <v>4</v>
      </c>
      <c r="F632" t="s">
        <v>5</v>
      </c>
      <c r="G632" t="s">
        <v>6</v>
      </c>
      <c r="H632" s="9" t="s">
        <v>7</v>
      </c>
      <c r="I632" s="10" t="s">
        <v>8</v>
      </c>
      <c r="J632" s="38" t="s">
        <v>137</v>
      </c>
    </row>
    <row r="633" spans="1:10" ht="18" x14ac:dyDescent="0.35">
      <c r="A633" s="17" t="s">
        <v>112</v>
      </c>
      <c r="B633" s="13" t="s">
        <v>113</v>
      </c>
      <c r="C633" s="7">
        <v>0.03</v>
      </c>
      <c r="D633" s="8">
        <v>60</v>
      </c>
      <c r="E633" s="8">
        <f>C633*D633</f>
        <v>1.7999999999999998</v>
      </c>
      <c r="F633" s="14">
        <f>E647</f>
        <v>21.408999999999999</v>
      </c>
      <c r="G633">
        <v>1</v>
      </c>
      <c r="H633" s="15">
        <f>F633/G633</f>
        <v>21.408999999999999</v>
      </c>
      <c r="I633" s="16">
        <v>60</v>
      </c>
      <c r="J633" s="40">
        <f t="shared" si="60"/>
        <v>35.681666666666665</v>
      </c>
    </row>
    <row r="634" spans="1:10" ht="18" x14ac:dyDescent="0.35">
      <c r="A634" s="17"/>
      <c r="B634" s="13" t="s">
        <v>114</v>
      </c>
      <c r="C634" s="7">
        <v>2.5999999999999999E-2</v>
      </c>
      <c r="D634" s="8">
        <v>135</v>
      </c>
      <c r="E634" s="8">
        <f t="shared" ref="E634:E638" si="63">C634*D634</f>
        <v>3.51</v>
      </c>
      <c r="F634" s="14"/>
      <c r="H634" s="15"/>
      <c r="J634" s="40"/>
    </row>
    <row r="635" spans="1:10" ht="18" x14ac:dyDescent="0.35">
      <c r="A635" s="17"/>
      <c r="B635" s="13" t="s">
        <v>129</v>
      </c>
      <c r="C635" s="7">
        <v>2.5000000000000001E-2</v>
      </c>
      <c r="D635" s="8">
        <v>23</v>
      </c>
      <c r="E635" s="8">
        <f t="shared" si="63"/>
        <v>0.57500000000000007</v>
      </c>
      <c r="H635" s="8"/>
      <c r="J635" s="40"/>
    </row>
    <row r="636" spans="1:10" x14ac:dyDescent="0.35">
      <c r="A636" s="37" t="s">
        <v>136</v>
      </c>
      <c r="B636" s="13" t="s">
        <v>98</v>
      </c>
      <c r="C636" s="7">
        <v>2.5000000000000001E-2</v>
      </c>
      <c r="D636" s="8">
        <v>23</v>
      </c>
      <c r="E636" s="8">
        <f t="shared" si="63"/>
        <v>0.57500000000000007</v>
      </c>
      <c r="H636" s="8"/>
      <c r="J636" s="40"/>
    </row>
    <row r="637" spans="1:10" ht="18" x14ac:dyDescent="0.35">
      <c r="A637" s="17"/>
      <c r="B637" s="13" t="s">
        <v>116</v>
      </c>
      <c r="C637" s="7">
        <v>5.0000000000000001E-3</v>
      </c>
      <c r="D637" s="8">
        <v>95</v>
      </c>
      <c r="E637" s="8">
        <f t="shared" si="63"/>
        <v>0.47500000000000003</v>
      </c>
      <c r="H637" s="8"/>
      <c r="J637" s="40"/>
    </row>
    <row r="638" spans="1:10" x14ac:dyDescent="0.35">
      <c r="A638" s="18"/>
      <c r="B638" s="13" t="s">
        <v>94</v>
      </c>
      <c r="C638" s="7">
        <v>2.5000000000000001E-2</v>
      </c>
      <c r="D638" s="8">
        <v>60</v>
      </c>
      <c r="E638" s="8">
        <f t="shared" si="63"/>
        <v>1.5</v>
      </c>
      <c r="H638" s="8"/>
      <c r="J638" s="40"/>
    </row>
    <row r="639" spans="1:10" x14ac:dyDescent="0.35">
      <c r="A639" s="18"/>
      <c r="B639" s="13" t="s">
        <v>86</v>
      </c>
      <c r="C639" s="7">
        <v>6.0000000000000001E-3</v>
      </c>
      <c r="D639" s="8">
        <v>644</v>
      </c>
      <c r="E639" s="8">
        <f>C639*D639</f>
        <v>3.8639999999999999</v>
      </c>
      <c r="H639" s="8"/>
      <c r="J639" s="40"/>
    </row>
    <row r="640" spans="1:10" x14ac:dyDescent="0.35">
      <c r="A640" s="18"/>
      <c r="B640" s="13" t="s">
        <v>12</v>
      </c>
      <c r="C640" s="7">
        <v>4.1000000000000002E-2</v>
      </c>
      <c r="D640" s="8">
        <v>60</v>
      </c>
      <c r="E640" s="8">
        <f t="shared" ref="E640:E643" si="64">C640*D640</f>
        <v>2.46</v>
      </c>
      <c r="H640" s="8"/>
      <c r="J640" s="40"/>
    </row>
    <row r="641" spans="1:10" x14ac:dyDescent="0.35">
      <c r="A641" s="37" t="s">
        <v>135</v>
      </c>
      <c r="B641" s="13" t="s">
        <v>13</v>
      </c>
      <c r="C641" s="7">
        <v>2.5000000000000001E-2</v>
      </c>
      <c r="D641" s="8">
        <v>118</v>
      </c>
      <c r="E641" s="8">
        <f t="shared" si="64"/>
        <v>2.95</v>
      </c>
      <c r="H641" s="8"/>
      <c r="J641" s="40"/>
    </row>
    <row r="642" spans="1:10" x14ac:dyDescent="0.35">
      <c r="A642" s="18"/>
      <c r="B642" s="13" t="s">
        <v>119</v>
      </c>
      <c r="C642" s="7">
        <v>1.4999999999999999E-2</v>
      </c>
      <c r="D642" s="8">
        <v>220</v>
      </c>
      <c r="E642" s="8">
        <f t="shared" si="64"/>
        <v>3.3</v>
      </c>
      <c r="H642" s="8"/>
      <c r="J642" s="40"/>
    </row>
    <row r="643" spans="1:10" x14ac:dyDescent="0.35">
      <c r="A643" s="37" t="s">
        <v>135</v>
      </c>
      <c r="B643" s="13" t="s">
        <v>30</v>
      </c>
      <c r="C643" s="7">
        <v>5.0000000000000001E-3</v>
      </c>
      <c r="D643" s="8">
        <v>80</v>
      </c>
      <c r="E643" s="8">
        <f t="shared" si="64"/>
        <v>0.4</v>
      </c>
      <c r="H643" s="8"/>
      <c r="J643" s="40"/>
    </row>
    <row r="644" spans="1:10" x14ac:dyDescent="0.35">
      <c r="A644" s="18"/>
      <c r="B644" s="13"/>
      <c r="C644" s="7"/>
      <c r="D644" s="8"/>
      <c r="E644" s="8"/>
      <c r="H644" s="8"/>
      <c r="J644" s="40"/>
    </row>
    <row r="645" spans="1:10" x14ac:dyDescent="0.35">
      <c r="A645" s="6"/>
      <c r="B645" s="13"/>
      <c r="C645" s="7"/>
      <c r="D645" s="8"/>
      <c r="E645" s="8"/>
      <c r="H645" s="8"/>
      <c r="J645" s="40"/>
    </row>
    <row r="646" spans="1:10" x14ac:dyDescent="0.35">
      <c r="B646" s="13"/>
      <c r="C646" s="7"/>
      <c r="D646" s="8"/>
      <c r="E646" s="8"/>
      <c r="H646" s="8"/>
      <c r="J646" s="40"/>
    </row>
    <row r="647" spans="1:10" ht="18" x14ac:dyDescent="0.35">
      <c r="A647" s="12"/>
      <c r="B647" s="13"/>
      <c r="C647" s="19"/>
      <c r="D647" s="8"/>
      <c r="E647" s="20">
        <f>SUM(E633:E646)</f>
        <v>21.408999999999999</v>
      </c>
      <c r="H647" s="8"/>
      <c r="J647" s="40"/>
    </row>
    <row r="648" spans="1:10" x14ac:dyDescent="0.35">
      <c r="A648" s="30" t="s">
        <v>43</v>
      </c>
      <c r="B648" s="13"/>
      <c r="C648" s="25"/>
      <c r="D648" s="8"/>
      <c r="E648" s="8"/>
      <c r="H648" s="8"/>
      <c r="J648" s="40"/>
    </row>
    <row r="649" spans="1:10" ht="18" x14ac:dyDescent="0.3">
      <c r="A649" s="12">
        <v>55</v>
      </c>
      <c r="B649" t="s">
        <v>1</v>
      </c>
      <c r="C649" s="7" t="s">
        <v>2</v>
      </c>
      <c r="D649" s="8" t="s">
        <v>3</v>
      </c>
      <c r="E649" s="8" t="s">
        <v>4</v>
      </c>
      <c r="F649" t="s">
        <v>5</v>
      </c>
      <c r="G649" t="s">
        <v>6</v>
      </c>
      <c r="H649" s="9" t="s">
        <v>7</v>
      </c>
      <c r="I649" s="10" t="s">
        <v>8</v>
      </c>
      <c r="J649" s="38" t="s">
        <v>137</v>
      </c>
    </row>
    <row r="650" spans="1:10" ht="18" x14ac:dyDescent="0.35">
      <c r="A650" s="17" t="s">
        <v>120</v>
      </c>
      <c r="B650" s="13" t="s">
        <v>121</v>
      </c>
      <c r="C650" s="7">
        <v>2.5000000000000001E-2</v>
      </c>
      <c r="D650" s="8">
        <v>40</v>
      </c>
      <c r="E650" s="8">
        <f>C650*D650</f>
        <v>1</v>
      </c>
      <c r="F650" s="14">
        <f>E662</f>
        <v>18.521999999999998</v>
      </c>
      <c r="G650">
        <v>1</v>
      </c>
      <c r="H650" s="15">
        <f>F650/G650</f>
        <v>18.521999999999998</v>
      </c>
      <c r="I650" s="16">
        <v>60</v>
      </c>
      <c r="J650" s="40">
        <f t="shared" si="60"/>
        <v>30.869999999999997</v>
      </c>
    </row>
    <row r="651" spans="1:10" ht="18" x14ac:dyDescent="0.35">
      <c r="A651" s="17"/>
      <c r="B651" s="13" t="s">
        <v>117</v>
      </c>
      <c r="C651" s="7">
        <v>1.4999999999999999E-2</v>
      </c>
      <c r="D651" s="8">
        <v>125</v>
      </c>
      <c r="E651" s="8">
        <f t="shared" ref="E651:E656" si="65">C651*D651</f>
        <v>1.875</v>
      </c>
      <c r="F651" s="14"/>
      <c r="H651" s="15"/>
      <c r="J651" s="40"/>
    </row>
    <row r="652" spans="1:10" ht="18" x14ac:dyDescent="0.35">
      <c r="A652" s="17"/>
      <c r="B652" s="13" t="s">
        <v>115</v>
      </c>
      <c r="C652" s="7">
        <v>0.03</v>
      </c>
      <c r="D652" s="8">
        <v>220</v>
      </c>
      <c r="E652" s="8">
        <f t="shared" si="65"/>
        <v>6.6</v>
      </c>
      <c r="H652" s="8"/>
      <c r="J652" s="40"/>
    </row>
    <row r="653" spans="1:10" ht="18" x14ac:dyDescent="0.35">
      <c r="A653" s="17"/>
      <c r="B653" s="13" t="s">
        <v>122</v>
      </c>
      <c r="C653" s="7">
        <v>2.5000000000000001E-2</v>
      </c>
      <c r="D653" s="8">
        <v>80</v>
      </c>
      <c r="E653" s="8">
        <f t="shared" si="65"/>
        <v>2</v>
      </c>
      <c r="H653" s="8"/>
      <c r="J653" s="40"/>
    </row>
    <row r="654" spans="1:10" ht="18" x14ac:dyDescent="0.35">
      <c r="A654" s="17"/>
      <c r="B654" s="13" t="s">
        <v>116</v>
      </c>
      <c r="C654" s="7">
        <v>5.0000000000000001E-3</v>
      </c>
      <c r="D654" s="8">
        <v>95</v>
      </c>
      <c r="E654" s="8">
        <f t="shared" si="65"/>
        <v>0.47500000000000003</v>
      </c>
      <c r="H654" s="8"/>
      <c r="J654" s="40"/>
    </row>
    <row r="655" spans="1:10" x14ac:dyDescent="0.35">
      <c r="A655" s="18"/>
      <c r="B655" s="13" t="s">
        <v>123</v>
      </c>
      <c r="C655" s="7">
        <v>3.0000000000000001E-3</v>
      </c>
      <c r="D655" s="8">
        <v>50</v>
      </c>
      <c r="E655" s="8">
        <f t="shared" si="65"/>
        <v>0.15</v>
      </c>
      <c r="H655" s="8"/>
      <c r="J655" s="40"/>
    </row>
    <row r="656" spans="1:10" ht="18" x14ac:dyDescent="0.35">
      <c r="A656" s="17"/>
      <c r="B656" s="13" t="s">
        <v>124</v>
      </c>
      <c r="C656" s="7">
        <v>6.0000000000000001E-3</v>
      </c>
      <c r="D656" s="8">
        <v>167</v>
      </c>
      <c r="E656" s="8">
        <f t="shared" si="65"/>
        <v>1.002</v>
      </c>
      <c r="H656" s="8"/>
      <c r="J656" s="40"/>
    </row>
    <row r="657" spans="1:10" x14ac:dyDescent="0.35">
      <c r="A657" s="18"/>
      <c r="B657" s="13" t="s">
        <v>86</v>
      </c>
      <c r="C657" s="7">
        <v>5.0000000000000001E-3</v>
      </c>
      <c r="D657" s="8">
        <v>644</v>
      </c>
      <c r="E657" s="8">
        <f>C657*D657</f>
        <v>3.22</v>
      </c>
      <c r="H657" s="8"/>
      <c r="J657" s="40"/>
    </row>
    <row r="658" spans="1:10" x14ac:dyDescent="0.35">
      <c r="A658" s="18"/>
      <c r="B658" s="13" t="s">
        <v>125</v>
      </c>
      <c r="C658" s="7">
        <v>0.01</v>
      </c>
      <c r="D658" s="8">
        <v>220</v>
      </c>
      <c r="E658" s="8">
        <f t="shared" ref="E658" si="66">C658*D658</f>
        <v>2.2000000000000002</v>
      </c>
      <c r="H658" s="8"/>
      <c r="J658" s="40"/>
    </row>
    <row r="659" spans="1:10" x14ac:dyDescent="0.35">
      <c r="A659" s="18"/>
      <c r="B659" s="13"/>
      <c r="C659" s="7"/>
      <c r="D659" s="8"/>
      <c r="E659" s="8"/>
      <c r="H659" s="8"/>
      <c r="J659" s="40"/>
    </row>
    <row r="660" spans="1:10" x14ac:dyDescent="0.35">
      <c r="A660" s="6"/>
      <c r="B660" s="13"/>
      <c r="C660" s="7"/>
      <c r="D660" s="8"/>
      <c r="E660" s="8"/>
      <c r="H660" s="8"/>
      <c r="J660" s="40"/>
    </row>
    <row r="661" spans="1:10" x14ac:dyDescent="0.35">
      <c r="B661" s="13"/>
      <c r="C661" s="7"/>
      <c r="D661" s="8"/>
      <c r="E661" s="8"/>
      <c r="H661" s="8"/>
      <c r="J661" s="40"/>
    </row>
    <row r="662" spans="1:10" ht="18" x14ac:dyDescent="0.35">
      <c r="A662" s="12"/>
      <c r="B662" s="13"/>
      <c r="C662" s="19"/>
      <c r="D662" s="8"/>
      <c r="E662" s="20">
        <f>SUM(E650:E661)</f>
        <v>18.521999999999998</v>
      </c>
      <c r="H662" s="8"/>
      <c r="J662" s="40"/>
    </row>
    <row r="663" spans="1:10" x14ac:dyDescent="0.35">
      <c r="J663" s="40"/>
    </row>
    <row r="664" spans="1:10" s="5" customFormat="1" ht="21" x14ac:dyDescent="0.4">
      <c r="A664" s="28"/>
      <c r="B664" s="31" t="s">
        <v>130</v>
      </c>
      <c r="C664" s="3" t="s">
        <v>131</v>
      </c>
      <c r="D664" s="3"/>
      <c r="E664" s="3"/>
      <c r="F664" s="3"/>
      <c r="G664" s="3"/>
      <c r="H664" s="3"/>
      <c r="I664" s="4"/>
      <c r="J664" s="40"/>
    </row>
    <row r="665" spans="1:10" x14ac:dyDescent="0.35">
      <c r="J665" s="40"/>
    </row>
    <row r="666" spans="1:10" ht="18" x14ac:dyDescent="0.3">
      <c r="A666" s="12">
        <v>66</v>
      </c>
      <c r="B666" t="s">
        <v>1</v>
      </c>
      <c r="C666" s="7" t="s">
        <v>2</v>
      </c>
      <c r="D666" s="8" t="s">
        <v>3</v>
      </c>
      <c r="E666" s="8" t="s">
        <v>4</v>
      </c>
      <c r="F666" t="s">
        <v>5</v>
      </c>
      <c r="G666" t="s">
        <v>6</v>
      </c>
      <c r="H666" s="9" t="s">
        <v>7</v>
      </c>
      <c r="I666" s="10" t="s">
        <v>8</v>
      </c>
      <c r="J666" s="38" t="s">
        <v>137</v>
      </c>
    </row>
    <row r="667" spans="1:10" ht="18" x14ac:dyDescent="0.35">
      <c r="A667" s="17" t="s">
        <v>76</v>
      </c>
      <c r="B667" s="13" t="s">
        <v>68</v>
      </c>
      <c r="C667" s="7">
        <v>0.11</v>
      </c>
      <c r="D667" s="8">
        <v>118</v>
      </c>
      <c r="E667" s="8">
        <f t="shared" ref="E667:E677" si="67">C667*D667</f>
        <v>12.98</v>
      </c>
      <c r="F667" s="14">
        <f>E678</f>
        <v>61.370000000000005</v>
      </c>
      <c r="G667">
        <v>1</v>
      </c>
      <c r="H667" s="15">
        <f>F667/G667</f>
        <v>61.370000000000005</v>
      </c>
      <c r="I667" s="16">
        <v>120</v>
      </c>
      <c r="J667" s="40">
        <f t="shared" ref="J667:J696" si="68">H667/I667*100</f>
        <v>51.141666666666673</v>
      </c>
    </row>
    <row r="668" spans="1:10" x14ac:dyDescent="0.35">
      <c r="B668" s="13" t="s">
        <v>77</v>
      </c>
      <c r="C668" s="7">
        <v>2</v>
      </c>
      <c r="D668" s="8">
        <v>19</v>
      </c>
      <c r="E668" s="8">
        <f t="shared" si="67"/>
        <v>38</v>
      </c>
      <c r="H668" s="8"/>
      <c r="J668" s="40"/>
    </row>
    <row r="669" spans="1:10" x14ac:dyDescent="0.35">
      <c r="A669" s="18"/>
      <c r="B669" s="13" t="s">
        <v>70</v>
      </c>
      <c r="C669" s="7">
        <v>1.4999999999999999E-2</v>
      </c>
      <c r="D669" s="8">
        <v>95</v>
      </c>
      <c r="E669" s="8">
        <f t="shared" si="67"/>
        <v>1.425</v>
      </c>
      <c r="H669" s="8"/>
      <c r="J669" s="40"/>
    </row>
    <row r="670" spans="1:10" x14ac:dyDescent="0.35">
      <c r="A670" s="18"/>
      <c r="B670" s="13" t="s">
        <v>71</v>
      </c>
      <c r="C670" s="7">
        <v>5.0000000000000001E-3</v>
      </c>
      <c r="D670" s="8">
        <v>92</v>
      </c>
      <c r="E670" s="8">
        <f t="shared" si="67"/>
        <v>0.46</v>
      </c>
      <c r="H670" s="8"/>
      <c r="J670" s="40"/>
    </row>
    <row r="671" spans="1:10" x14ac:dyDescent="0.35">
      <c r="A671" s="18"/>
      <c r="B671" s="13" t="s">
        <v>24</v>
      </c>
      <c r="C671" s="7">
        <v>0.03</v>
      </c>
      <c r="D671" s="8">
        <v>26</v>
      </c>
      <c r="E671" s="8">
        <f t="shared" si="67"/>
        <v>0.78</v>
      </c>
      <c r="H671" s="8"/>
      <c r="J671" s="40"/>
    </row>
    <row r="672" spans="1:10" x14ac:dyDescent="0.35">
      <c r="A672" s="18"/>
      <c r="B672" s="13" t="s">
        <v>72</v>
      </c>
      <c r="C672" s="7">
        <v>0.01</v>
      </c>
      <c r="D672" s="8">
        <v>60</v>
      </c>
      <c r="E672" s="8">
        <f t="shared" si="67"/>
        <v>0.6</v>
      </c>
      <c r="H672" s="8"/>
      <c r="J672" s="40"/>
    </row>
    <row r="673" spans="1:10" x14ac:dyDescent="0.35">
      <c r="A673" s="18"/>
      <c r="B673" s="13" t="s">
        <v>73</v>
      </c>
      <c r="C673" s="7">
        <v>0.01</v>
      </c>
      <c r="D673" s="8">
        <v>95</v>
      </c>
      <c r="E673" s="8">
        <f t="shared" si="67"/>
        <v>0.95000000000000007</v>
      </c>
      <c r="H673" s="8"/>
      <c r="J673" s="40"/>
    </row>
    <row r="674" spans="1:10" x14ac:dyDescent="0.35">
      <c r="A674" s="18"/>
      <c r="B674" s="13" t="s">
        <v>74</v>
      </c>
      <c r="C674" s="7">
        <v>5.0000000000000001E-3</v>
      </c>
      <c r="D674" s="8">
        <v>95</v>
      </c>
      <c r="E674" s="8">
        <f t="shared" si="67"/>
        <v>0.47500000000000003</v>
      </c>
      <c r="H674" s="8"/>
      <c r="J674" s="40"/>
    </row>
    <row r="675" spans="1:10" x14ac:dyDescent="0.35">
      <c r="A675" s="18"/>
      <c r="B675" s="13" t="s">
        <v>75</v>
      </c>
      <c r="C675" s="7">
        <v>1</v>
      </c>
      <c r="D675" s="8">
        <v>4.8</v>
      </c>
      <c r="E675" s="8">
        <f t="shared" si="67"/>
        <v>4.8</v>
      </c>
      <c r="H675" s="8"/>
      <c r="J675" s="40"/>
    </row>
    <row r="676" spans="1:10" x14ac:dyDescent="0.35">
      <c r="B676" s="13" t="s">
        <v>16</v>
      </c>
      <c r="C676" s="7">
        <v>1</v>
      </c>
      <c r="D676" s="8">
        <v>0.5</v>
      </c>
      <c r="E676" s="8">
        <f t="shared" si="67"/>
        <v>0.5</v>
      </c>
      <c r="H676" s="8"/>
      <c r="J676" s="40"/>
    </row>
    <row r="677" spans="1:10" x14ac:dyDescent="0.35">
      <c r="B677" s="13" t="s">
        <v>17</v>
      </c>
      <c r="C677" s="7">
        <v>1</v>
      </c>
      <c r="D677" s="8">
        <v>0.4</v>
      </c>
      <c r="E677" s="8">
        <f t="shared" si="67"/>
        <v>0.4</v>
      </c>
      <c r="H677" s="8"/>
      <c r="J677" s="40"/>
    </row>
    <row r="678" spans="1:10" x14ac:dyDescent="0.35">
      <c r="A678" s="6"/>
      <c r="C678" s="19"/>
      <c r="D678" s="8"/>
      <c r="E678" s="20">
        <f>SUM(E667:E677)</f>
        <v>61.370000000000005</v>
      </c>
      <c r="H678" s="8"/>
      <c r="J678" s="40"/>
    </row>
    <row r="679" spans="1:10" x14ac:dyDescent="0.35">
      <c r="J679" s="40"/>
    </row>
    <row r="680" spans="1:10" x14ac:dyDescent="0.35">
      <c r="J680" s="40"/>
    </row>
    <row r="681" spans="1:10" ht="18" x14ac:dyDescent="0.3">
      <c r="A681" s="12">
        <v>67</v>
      </c>
      <c r="B681" t="s">
        <v>1</v>
      </c>
      <c r="C681" s="7" t="s">
        <v>2</v>
      </c>
      <c r="D681" s="8" t="s">
        <v>3</v>
      </c>
      <c r="E681" s="8" t="s">
        <v>4</v>
      </c>
      <c r="F681" t="s">
        <v>5</v>
      </c>
      <c r="G681" t="s">
        <v>6</v>
      </c>
      <c r="H681" s="9" t="s">
        <v>7</v>
      </c>
      <c r="I681" s="10" t="s">
        <v>8</v>
      </c>
      <c r="J681" s="38" t="s">
        <v>137</v>
      </c>
    </row>
    <row r="682" spans="1:10" ht="18" x14ac:dyDescent="0.35">
      <c r="A682" s="17" t="s">
        <v>67</v>
      </c>
      <c r="B682" s="13" t="s">
        <v>68</v>
      </c>
      <c r="C682" s="7">
        <v>0.11</v>
      </c>
      <c r="D682" s="8">
        <v>118</v>
      </c>
      <c r="E682" s="8">
        <f t="shared" ref="E682:E692" si="69">C682*D682</f>
        <v>12.98</v>
      </c>
      <c r="F682" s="14">
        <f>E693</f>
        <v>39.870000000000005</v>
      </c>
      <c r="G682">
        <v>1</v>
      </c>
      <c r="H682" s="15">
        <f>F682/G682</f>
        <v>39.870000000000005</v>
      </c>
      <c r="I682" s="16">
        <v>150</v>
      </c>
      <c r="J682" s="40">
        <f t="shared" si="68"/>
        <v>26.580000000000005</v>
      </c>
    </row>
    <row r="683" spans="1:10" x14ac:dyDescent="0.35">
      <c r="B683" s="13" t="s">
        <v>69</v>
      </c>
      <c r="C683" s="7">
        <v>2</v>
      </c>
      <c r="D683" s="8">
        <v>8.25</v>
      </c>
      <c r="E683" s="8">
        <f t="shared" si="69"/>
        <v>16.5</v>
      </c>
      <c r="H683" s="8"/>
      <c r="J683" s="40"/>
    </row>
    <row r="684" spans="1:10" x14ac:dyDescent="0.35">
      <c r="A684" s="18"/>
      <c r="B684" s="13" t="s">
        <v>70</v>
      </c>
      <c r="C684" s="7">
        <v>1.4999999999999999E-2</v>
      </c>
      <c r="D684" s="8">
        <v>95</v>
      </c>
      <c r="E684" s="8">
        <f t="shared" si="69"/>
        <v>1.425</v>
      </c>
      <c r="H684" s="8"/>
      <c r="J684" s="40"/>
    </row>
    <row r="685" spans="1:10" x14ac:dyDescent="0.35">
      <c r="A685" s="18"/>
      <c r="B685" s="13" t="s">
        <v>71</v>
      </c>
      <c r="C685" s="7">
        <v>5.0000000000000001E-3</v>
      </c>
      <c r="D685" s="8">
        <v>92</v>
      </c>
      <c r="E685" s="8">
        <f t="shared" si="69"/>
        <v>0.46</v>
      </c>
      <c r="H685" s="8"/>
      <c r="J685" s="40"/>
    </row>
    <row r="686" spans="1:10" x14ac:dyDescent="0.35">
      <c r="A686" s="18"/>
      <c r="B686" s="13" t="s">
        <v>24</v>
      </c>
      <c r="C686" s="7">
        <v>0.03</v>
      </c>
      <c r="D686" s="8">
        <v>26</v>
      </c>
      <c r="E686" s="8">
        <f t="shared" si="69"/>
        <v>0.78</v>
      </c>
      <c r="H686" s="8"/>
      <c r="J686" s="40"/>
    </row>
    <row r="687" spans="1:10" x14ac:dyDescent="0.35">
      <c r="A687" s="18"/>
      <c r="B687" s="13" t="s">
        <v>72</v>
      </c>
      <c r="C687" s="7">
        <v>0.01</v>
      </c>
      <c r="D687" s="8">
        <v>60</v>
      </c>
      <c r="E687" s="8">
        <f t="shared" si="69"/>
        <v>0.6</v>
      </c>
      <c r="H687" s="8"/>
      <c r="J687" s="40"/>
    </row>
    <row r="688" spans="1:10" x14ac:dyDescent="0.35">
      <c r="A688" s="18"/>
      <c r="B688" s="13" t="s">
        <v>73</v>
      </c>
      <c r="C688" s="7">
        <v>0.01</v>
      </c>
      <c r="D688" s="8">
        <v>95</v>
      </c>
      <c r="E688" s="8">
        <f t="shared" si="69"/>
        <v>0.95000000000000007</v>
      </c>
      <c r="H688" s="8"/>
      <c r="J688" s="40"/>
    </row>
    <row r="689" spans="1:10" x14ac:dyDescent="0.35">
      <c r="A689" s="18"/>
      <c r="B689" s="13" t="s">
        <v>74</v>
      </c>
      <c r="C689" s="7">
        <v>5.0000000000000001E-3</v>
      </c>
      <c r="D689" s="8">
        <v>95</v>
      </c>
      <c r="E689" s="8">
        <f t="shared" si="69"/>
        <v>0.47500000000000003</v>
      </c>
      <c r="H689" s="8"/>
      <c r="J689" s="40"/>
    </row>
    <row r="690" spans="1:10" x14ac:dyDescent="0.35">
      <c r="A690" s="18"/>
      <c r="B690" s="13" t="s">
        <v>75</v>
      </c>
      <c r="C690" s="7">
        <v>1</v>
      </c>
      <c r="D690" s="8">
        <v>4.8</v>
      </c>
      <c r="E690" s="8">
        <f t="shared" si="69"/>
        <v>4.8</v>
      </c>
      <c r="H690" s="8"/>
      <c r="J690" s="40"/>
    </row>
    <row r="691" spans="1:10" x14ac:dyDescent="0.35">
      <c r="A691" s="18"/>
      <c r="B691" s="13" t="s">
        <v>16</v>
      </c>
      <c r="C691" s="7">
        <v>1</v>
      </c>
      <c r="D691" s="8">
        <v>0.5</v>
      </c>
      <c r="E691" s="8">
        <f t="shared" si="69"/>
        <v>0.5</v>
      </c>
      <c r="H691" s="8"/>
      <c r="J691" s="40"/>
    </row>
    <row r="692" spans="1:10" x14ac:dyDescent="0.35">
      <c r="A692" s="18"/>
      <c r="B692" s="13" t="s">
        <v>17</v>
      </c>
      <c r="C692" s="7">
        <v>1</v>
      </c>
      <c r="D692" s="8">
        <v>0.4</v>
      </c>
      <c r="E692" s="8">
        <f t="shared" si="69"/>
        <v>0.4</v>
      </c>
      <c r="H692" s="8"/>
      <c r="J692" s="40"/>
    </row>
    <row r="693" spans="1:10" x14ac:dyDescent="0.35">
      <c r="A693" s="18"/>
      <c r="C693" s="19"/>
      <c r="D693" s="8"/>
      <c r="E693" s="20">
        <f>SUM(E682:E692)</f>
        <v>39.870000000000005</v>
      </c>
      <c r="H693" s="8"/>
      <c r="J693" s="40"/>
    </row>
    <row r="694" spans="1:10" x14ac:dyDescent="0.35">
      <c r="J694" s="40"/>
    </row>
    <row r="695" spans="1:10" ht="18" x14ac:dyDescent="0.3">
      <c r="A695" s="12">
        <v>68</v>
      </c>
      <c r="B695" t="s">
        <v>1</v>
      </c>
      <c r="C695" s="7" t="s">
        <v>2</v>
      </c>
      <c r="D695" s="8" t="s">
        <v>3</v>
      </c>
      <c r="E695" s="8" t="s">
        <v>4</v>
      </c>
      <c r="F695" t="s">
        <v>5</v>
      </c>
      <c r="G695" t="s">
        <v>6</v>
      </c>
      <c r="H695" s="14" t="s">
        <v>7</v>
      </c>
      <c r="I695" s="10" t="s">
        <v>8</v>
      </c>
      <c r="J695" s="38" t="s">
        <v>137</v>
      </c>
    </row>
    <row r="696" spans="1:10" ht="18" x14ac:dyDescent="0.35">
      <c r="A696" s="27" t="s">
        <v>54</v>
      </c>
      <c r="B696" s="13"/>
      <c r="C696" s="7"/>
      <c r="D696" s="8"/>
      <c r="E696" s="8">
        <f t="shared" ref="E696:E703" si="70">C696*D696</f>
        <v>0</v>
      </c>
      <c r="F696" s="14">
        <f>E704</f>
        <v>9.7000000000000011</v>
      </c>
      <c r="G696">
        <v>1</v>
      </c>
      <c r="H696" s="15">
        <f>F696/G696</f>
        <v>9.7000000000000011</v>
      </c>
      <c r="I696" s="16">
        <v>80</v>
      </c>
      <c r="J696" s="40">
        <f t="shared" si="68"/>
        <v>12.125000000000002</v>
      </c>
    </row>
    <row r="697" spans="1:10" x14ac:dyDescent="0.35">
      <c r="B697" s="13"/>
      <c r="C697" s="7"/>
      <c r="D697" s="8"/>
      <c r="E697" s="8">
        <f t="shared" si="70"/>
        <v>0</v>
      </c>
      <c r="H697" s="8"/>
      <c r="J697" s="40"/>
    </row>
    <row r="698" spans="1:10" x14ac:dyDescent="0.35">
      <c r="A698" s="18"/>
      <c r="B698" s="13"/>
      <c r="C698" s="7"/>
      <c r="D698" s="8"/>
      <c r="E698" s="8">
        <f t="shared" si="70"/>
        <v>0</v>
      </c>
      <c r="H698" s="8"/>
      <c r="J698" s="40"/>
    </row>
    <row r="699" spans="1:10" x14ac:dyDescent="0.35">
      <c r="A699" s="18"/>
      <c r="B699" s="13"/>
      <c r="C699" s="7"/>
      <c r="D699" s="8"/>
      <c r="E699" s="8">
        <f t="shared" si="70"/>
        <v>0</v>
      </c>
      <c r="H699" s="8"/>
      <c r="J699" s="40"/>
    </row>
    <row r="700" spans="1:10" x14ac:dyDescent="0.35">
      <c r="A700" s="18"/>
      <c r="B700" s="13"/>
      <c r="C700" s="7"/>
      <c r="D700" s="8"/>
      <c r="E700" s="8">
        <f t="shared" si="70"/>
        <v>0</v>
      </c>
      <c r="H700" s="8"/>
      <c r="J700" s="40"/>
    </row>
    <row r="701" spans="1:10" x14ac:dyDescent="0.35">
      <c r="A701" s="18"/>
      <c r="B701" s="13" t="s">
        <v>55</v>
      </c>
      <c r="C701" s="7">
        <v>1</v>
      </c>
      <c r="D701" s="8">
        <v>9</v>
      </c>
      <c r="E701" s="8">
        <f t="shared" si="70"/>
        <v>9</v>
      </c>
      <c r="H701" s="8"/>
      <c r="J701" s="40"/>
    </row>
    <row r="702" spans="1:10" x14ac:dyDescent="0.35">
      <c r="A702" s="18"/>
      <c r="B702" s="13" t="s">
        <v>56</v>
      </c>
      <c r="C702" s="7">
        <v>2</v>
      </c>
      <c r="D702" s="8">
        <v>0.15</v>
      </c>
      <c r="E702" s="8">
        <f t="shared" si="70"/>
        <v>0.3</v>
      </c>
      <c r="H702" s="8"/>
      <c r="J702" s="40"/>
    </row>
    <row r="703" spans="1:10" x14ac:dyDescent="0.35">
      <c r="A703" s="18"/>
      <c r="B703" s="13" t="s">
        <v>17</v>
      </c>
      <c r="C703" s="7">
        <v>1</v>
      </c>
      <c r="D703" s="8">
        <v>0.4</v>
      </c>
      <c r="E703" s="8">
        <f t="shared" si="70"/>
        <v>0.4</v>
      </c>
      <c r="H703" s="8"/>
      <c r="J703" s="40"/>
    </row>
    <row r="704" spans="1:10" x14ac:dyDescent="0.35">
      <c r="A704" s="18"/>
      <c r="C704" s="19">
        <f>SUM(C696:C703)</f>
        <v>4</v>
      </c>
      <c r="D704" s="8"/>
      <c r="E704" s="20">
        <f>SUM(E696:E703)</f>
        <v>9.7000000000000011</v>
      </c>
      <c r="H704" s="8"/>
      <c r="J704" s="40"/>
    </row>
    <row r="705" spans="1:10" x14ac:dyDescent="0.35">
      <c r="J705" s="40"/>
    </row>
    <row r="706" spans="1:10" x14ac:dyDescent="0.35">
      <c r="J706" s="40"/>
    </row>
    <row r="707" spans="1:10" x14ac:dyDescent="0.35">
      <c r="J707" s="40"/>
    </row>
    <row r="708" spans="1:10" x14ac:dyDescent="0.35">
      <c r="J708" s="40"/>
    </row>
    <row r="709" spans="1:10" x14ac:dyDescent="0.35">
      <c r="J709" s="40"/>
    </row>
    <row r="710" spans="1:10" x14ac:dyDescent="0.35">
      <c r="J710" s="40"/>
    </row>
    <row r="711" spans="1:10" x14ac:dyDescent="0.35">
      <c r="J711" s="40"/>
    </row>
    <row r="712" spans="1:10" x14ac:dyDescent="0.35">
      <c r="J712" s="40"/>
    </row>
    <row r="713" spans="1:10" s="5" customFormat="1" ht="21" x14ac:dyDescent="0.4">
      <c r="A713" s="28" t="s">
        <v>43</v>
      </c>
      <c r="B713" s="29" t="s">
        <v>132</v>
      </c>
      <c r="C713" s="3" t="s">
        <v>131</v>
      </c>
      <c r="D713" s="3"/>
      <c r="E713" s="3"/>
      <c r="F713" s="3"/>
      <c r="G713" s="3"/>
      <c r="H713" s="3"/>
      <c r="I713" s="4"/>
      <c r="J713" s="40"/>
    </row>
    <row r="714" spans="1:10" ht="18" x14ac:dyDescent="0.35">
      <c r="A714" s="12">
        <v>27</v>
      </c>
      <c r="J714" s="40"/>
    </row>
    <row r="715" spans="1:10" ht="18" x14ac:dyDescent="0.3">
      <c r="A715" s="17" t="s">
        <v>138</v>
      </c>
      <c r="B715" t="s">
        <v>1</v>
      </c>
      <c r="C715" s="7" t="s">
        <v>2</v>
      </c>
      <c r="D715" s="8" t="s">
        <v>3</v>
      </c>
      <c r="E715" s="8" t="s">
        <v>4</v>
      </c>
      <c r="F715" t="s">
        <v>5</v>
      </c>
      <c r="G715" t="s">
        <v>6</v>
      </c>
      <c r="H715" s="9" t="s">
        <v>7</v>
      </c>
      <c r="I715" s="10" t="s">
        <v>8</v>
      </c>
      <c r="J715" s="38" t="s">
        <v>137</v>
      </c>
    </row>
    <row r="716" spans="1:10" x14ac:dyDescent="0.35">
      <c r="B716" s="13" t="s">
        <v>50</v>
      </c>
      <c r="C716" s="7">
        <v>1</v>
      </c>
      <c r="D716" s="8">
        <v>11</v>
      </c>
      <c r="E716" s="8">
        <f t="shared" ref="E716:E718" si="71">C716*D716</f>
        <v>11</v>
      </c>
      <c r="F716" s="14">
        <f>E722</f>
        <v>12.9</v>
      </c>
      <c r="G716">
        <v>1</v>
      </c>
      <c r="H716" s="15">
        <f>F716/G716</f>
        <v>12.9</v>
      </c>
      <c r="I716" s="16">
        <v>25</v>
      </c>
      <c r="J716" s="40">
        <f t="shared" ref="J716:J747" si="72">H716/I716*100</f>
        <v>51.6</v>
      </c>
    </row>
    <row r="717" spans="1:10" x14ac:dyDescent="0.35">
      <c r="B717" s="13" t="s">
        <v>12</v>
      </c>
      <c r="C717" s="7">
        <v>1.2E-2</v>
      </c>
      <c r="D717" s="8">
        <v>60</v>
      </c>
      <c r="E717" s="8">
        <f t="shared" si="71"/>
        <v>0.72</v>
      </c>
      <c r="H717" s="8"/>
      <c r="J717" s="40"/>
    </row>
    <row r="718" spans="1:10" x14ac:dyDescent="0.35">
      <c r="A718" s="18"/>
      <c r="B718" s="13" t="s">
        <v>13</v>
      </c>
      <c r="C718" s="7">
        <v>0.01</v>
      </c>
      <c r="D718" s="8">
        <v>118</v>
      </c>
      <c r="E718" s="8">
        <f t="shared" si="71"/>
        <v>1.18</v>
      </c>
      <c r="H718" s="8"/>
      <c r="J718" s="40"/>
    </row>
    <row r="719" spans="1:10" x14ac:dyDescent="0.35">
      <c r="A719" s="18"/>
      <c r="B719" s="13"/>
      <c r="C719" s="7"/>
      <c r="D719" s="8"/>
      <c r="E719" s="8"/>
      <c r="H719" s="8"/>
      <c r="J719" s="40"/>
    </row>
    <row r="720" spans="1:10" x14ac:dyDescent="0.35">
      <c r="A720" s="18"/>
      <c r="B720" s="13"/>
      <c r="C720" s="7"/>
      <c r="D720" s="8"/>
      <c r="E720" s="8"/>
      <c r="H720" s="8"/>
      <c r="J720" s="40"/>
    </row>
    <row r="721" spans="1:10" x14ac:dyDescent="0.35">
      <c r="A721" s="18"/>
      <c r="B721" s="13"/>
      <c r="C721" s="7"/>
      <c r="D721" s="8"/>
      <c r="E721" s="8"/>
      <c r="H721" s="8"/>
      <c r="J721" s="40"/>
    </row>
    <row r="722" spans="1:10" x14ac:dyDescent="0.35">
      <c r="A722" s="18"/>
      <c r="C722" s="19"/>
      <c r="D722" s="8"/>
      <c r="E722" s="20">
        <f>SUM(E716:E721)</f>
        <v>12.9</v>
      </c>
      <c r="H722" s="8"/>
      <c r="J722" s="40"/>
    </row>
    <row r="723" spans="1:10" x14ac:dyDescent="0.35">
      <c r="A723" s="18"/>
      <c r="J723" s="40"/>
    </row>
    <row r="724" spans="1:10" x14ac:dyDescent="0.35">
      <c r="J724" s="40"/>
    </row>
    <row r="725" spans="1:10" x14ac:dyDescent="0.35">
      <c r="J725" s="40"/>
    </row>
    <row r="726" spans="1:10" ht="18" x14ac:dyDescent="0.35">
      <c r="A726" s="32" t="s">
        <v>43</v>
      </c>
      <c r="J726" s="40"/>
    </row>
    <row r="727" spans="1:10" ht="18" x14ac:dyDescent="0.3">
      <c r="A727" s="12">
        <v>28</v>
      </c>
      <c r="B727" t="s">
        <v>1</v>
      </c>
      <c r="C727" s="7" t="s">
        <v>2</v>
      </c>
      <c r="D727" s="8" t="s">
        <v>3</v>
      </c>
      <c r="E727" s="8" t="s">
        <v>4</v>
      </c>
      <c r="F727" t="s">
        <v>5</v>
      </c>
      <c r="G727" t="s">
        <v>6</v>
      </c>
      <c r="H727" s="9" t="s">
        <v>7</v>
      </c>
      <c r="I727" s="10" t="s">
        <v>8</v>
      </c>
      <c r="J727" s="38" t="s">
        <v>137</v>
      </c>
    </row>
    <row r="728" spans="1:10" ht="18" x14ac:dyDescent="0.35">
      <c r="A728" s="17" t="s">
        <v>51</v>
      </c>
      <c r="B728" s="13" t="s">
        <v>52</v>
      </c>
      <c r="C728" s="7">
        <v>3</v>
      </c>
      <c r="D728" s="8">
        <v>3.5</v>
      </c>
      <c r="E728" s="8">
        <f t="shared" ref="E728:E730" si="73">C728*D728</f>
        <v>10.5</v>
      </c>
      <c r="F728" s="14">
        <f>E734</f>
        <v>12.4</v>
      </c>
      <c r="G728">
        <v>1</v>
      </c>
      <c r="H728" s="15">
        <f>F728/G728</f>
        <v>12.4</v>
      </c>
      <c r="I728" s="16">
        <v>25</v>
      </c>
      <c r="J728" s="40">
        <f t="shared" si="72"/>
        <v>49.6</v>
      </c>
    </row>
    <row r="729" spans="1:10" x14ac:dyDescent="0.35">
      <c r="A729" s="26" t="s">
        <v>53</v>
      </c>
      <c r="B729" s="13" t="s">
        <v>12</v>
      </c>
      <c r="C729" s="7">
        <v>1.2E-2</v>
      </c>
      <c r="D729" s="8">
        <v>60</v>
      </c>
      <c r="E729" s="8">
        <f t="shared" si="73"/>
        <v>0.72</v>
      </c>
      <c r="H729" s="8"/>
      <c r="J729" s="40"/>
    </row>
    <row r="730" spans="1:10" x14ac:dyDescent="0.35">
      <c r="B730" s="13" t="s">
        <v>13</v>
      </c>
      <c r="C730" s="7">
        <v>0.01</v>
      </c>
      <c r="D730" s="8">
        <v>118</v>
      </c>
      <c r="E730" s="8">
        <f t="shared" si="73"/>
        <v>1.18</v>
      </c>
      <c r="H730" s="8"/>
      <c r="J730" s="40"/>
    </row>
    <row r="731" spans="1:10" x14ac:dyDescent="0.35">
      <c r="A731" s="18"/>
      <c r="B731" s="13"/>
      <c r="C731" s="7"/>
      <c r="D731" s="8"/>
      <c r="E731" s="8"/>
      <c r="H731" s="8"/>
      <c r="J731" s="40"/>
    </row>
    <row r="732" spans="1:10" x14ac:dyDescent="0.35">
      <c r="A732" s="18"/>
      <c r="B732" s="13"/>
      <c r="C732" s="7"/>
      <c r="D732" s="8"/>
      <c r="E732" s="8"/>
      <c r="H732" s="8"/>
      <c r="J732" s="40"/>
    </row>
    <row r="733" spans="1:10" x14ac:dyDescent="0.35">
      <c r="A733" s="18"/>
      <c r="B733" s="13"/>
      <c r="C733" s="7"/>
      <c r="D733" s="8"/>
      <c r="E733" s="8"/>
      <c r="H733" s="8"/>
      <c r="J733" s="40"/>
    </row>
    <row r="734" spans="1:10" x14ac:dyDescent="0.35">
      <c r="A734" s="18"/>
      <c r="C734" s="19"/>
      <c r="D734" s="8"/>
      <c r="E734" s="20">
        <f>SUM(E728:E733)</f>
        <v>12.4</v>
      </c>
      <c r="H734" s="8"/>
      <c r="J734" s="40"/>
    </row>
    <row r="735" spans="1:10" x14ac:dyDescent="0.35">
      <c r="A735" s="18"/>
      <c r="C735" s="25"/>
      <c r="D735" s="8"/>
      <c r="E735" s="8"/>
      <c r="H735" s="8"/>
      <c r="J735" s="40"/>
    </row>
    <row r="736" spans="1:10" x14ac:dyDescent="0.35">
      <c r="A736" s="18"/>
      <c r="C736" s="25"/>
      <c r="D736" s="8"/>
      <c r="E736" s="8"/>
      <c r="H736" s="8"/>
      <c r="J736" s="40"/>
    </row>
    <row r="737" spans="1:10" ht="18" x14ac:dyDescent="0.35">
      <c r="A737" s="32" t="s">
        <v>43</v>
      </c>
      <c r="J737" s="40"/>
    </row>
    <row r="738" spans="1:10" ht="18" x14ac:dyDescent="0.3">
      <c r="A738" s="12">
        <v>29</v>
      </c>
      <c r="B738" t="s">
        <v>1</v>
      </c>
      <c r="C738" s="7" t="s">
        <v>2</v>
      </c>
      <c r="D738" s="8" t="s">
        <v>3</v>
      </c>
      <c r="E738" s="8" t="s">
        <v>4</v>
      </c>
      <c r="F738" t="s">
        <v>5</v>
      </c>
      <c r="G738" t="s">
        <v>6</v>
      </c>
      <c r="H738" s="9" t="s">
        <v>7</v>
      </c>
      <c r="I738" s="10" t="s">
        <v>8</v>
      </c>
      <c r="J738" s="38" t="s">
        <v>137</v>
      </c>
    </row>
    <row r="739" spans="1:10" ht="18" x14ac:dyDescent="0.35">
      <c r="A739" s="17" t="s">
        <v>42</v>
      </c>
      <c r="B739" s="13" t="s">
        <v>34</v>
      </c>
      <c r="C739" s="7">
        <v>3</v>
      </c>
      <c r="D739" s="8">
        <v>3.5</v>
      </c>
      <c r="E739" s="8">
        <f t="shared" ref="E739:E740" si="74">C739*D739</f>
        <v>10.5</v>
      </c>
      <c r="F739" s="14">
        <f>E744</f>
        <v>35.85</v>
      </c>
      <c r="G739">
        <v>1</v>
      </c>
      <c r="H739" s="15">
        <f>F739/G739</f>
        <v>35.85</v>
      </c>
      <c r="I739" s="16">
        <v>80</v>
      </c>
      <c r="J739" s="40">
        <f t="shared" si="72"/>
        <v>44.8125</v>
      </c>
    </row>
    <row r="740" spans="1:10" x14ac:dyDescent="0.35">
      <c r="B740" s="13" t="s">
        <v>41</v>
      </c>
      <c r="C740" s="7">
        <v>0.13</v>
      </c>
      <c r="D740" s="8">
        <v>195</v>
      </c>
      <c r="E740" s="8">
        <f t="shared" si="74"/>
        <v>25.35</v>
      </c>
      <c r="H740" s="8"/>
      <c r="J740" s="40"/>
    </row>
    <row r="741" spans="1:10" x14ac:dyDescent="0.35">
      <c r="A741" s="18"/>
      <c r="B741" s="13"/>
      <c r="C741" s="7"/>
      <c r="D741" s="8"/>
      <c r="E741" s="8"/>
      <c r="H741" s="8"/>
      <c r="J741" s="40"/>
    </row>
    <row r="742" spans="1:10" x14ac:dyDescent="0.35">
      <c r="A742" s="18"/>
      <c r="B742" s="13"/>
      <c r="C742" s="7"/>
      <c r="D742" s="8"/>
      <c r="E742" s="8"/>
      <c r="H742" s="8"/>
      <c r="J742" s="40"/>
    </row>
    <row r="743" spans="1:10" x14ac:dyDescent="0.35">
      <c r="A743" s="18"/>
      <c r="B743" s="13"/>
      <c r="C743" s="7"/>
      <c r="D743" s="8"/>
      <c r="E743" s="8"/>
      <c r="H743" s="8"/>
      <c r="J743" s="40"/>
    </row>
    <row r="744" spans="1:10" x14ac:dyDescent="0.35">
      <c r="A744" s="18"/>
      <c r="C744" s="19"/>
      <c r="D744" s="8"/>
      <c r="E744" s="20">
        <f>SUM(E739:E743)</f>
        <v>35.85</v>
      </c>
      <c r="H744" s="8"/>
      <c r="J744" s="40"/>
    </row>
    <row r="745" spans="1:10" ht="18" x14ac:dyDescent="0.35">
      <c r="A745" s="32" t="s">
        <v>43</v>
      </c>
      <c r="J745" s="40"/>
    </row>
    <row r="746" spans="1:10" ht="18" x14ac:dyDescent="0.3">
      <c r="A746" s="12">
        <v>31</v>
      </c>
      <c r="B746" t="s">
        <v>1</v>
      </c>
      <c r="C746" s="7" t="s">
        <v>2</v>
      </c>
      <c r="D746" s="8" t="s">
        <v>3</v>
      </c>
      <c r="E746" s="8" t="s">
        <v>4</v>
      </c>
      <c r="F746" t="s">
        <v>5</v>
      </c>
      <c r="G746" t="s">
        <v>6</v>
      </c>
      <c r="H746" s="9" t="s">
        <v>7</v>
      </c>
      <c r="I746" s="10" t="s">
        <v>8</v>
      </c>
      <c r="J746" s="38" t="s">
        <v>137</v>
      </c>
    </row>
    <row r="747" spans="1:10" ht="18" x14ac:dyDescent="0.35">
      <c r="A747" s="17" t="s">
        <v>58</v>
      </c>
      <c r="B747" s="13" t="s">
        <v>57</v>
      </c>
      <c r="C747" s="7">
        <v>0.14000000000000001</v>
      </c>
      <c r="D747" s="8">
        <v>85</v>
      </c>
      <c r="E747" s="8">
        <f t="shared" ref="E747:E754" si="75">C747*D747</f>
        <v>11.9</v>
      </c>
      <c r="F747" s="14">
        <f>E759</f>
        <v>40.891999999999996</v>
      </c>
      <c r="G747">
        <v>1</v>
      </c>
      <c r="H747" s="15">
        <f>F747/G747</f>
        <v>40.891999999999996</v>
      </c>
      <c r="I747" s="16">
        <v>125</v>
      </c>
      <c r="J747" s="40">
        <f t="shared" si="72"/>
        <v>32.7136</v>
      </c>
    </row>
    <row r="748" spans="1:10" ht="18" x14ac:dyDescent="0.35">
      <c r="A748" s="17"/>
      <c r="B748" s="13" t="s">
        <v>133</v>
      </c>
      <c r="C748" s="7">
        <v>0.03</v>
      </c>
      <c r="D748" s="8">
        <v>70</v>
      </c>
      <c r="E748" s="8">
        <f t="shared" si="75"/>
        <v>2.1</v>
      </c>
      <c r="H748" s="8"/>
      <c r="J748" s="40"/>
    </row>
    <row r="749" spans="1:10" ht="18" x14ac:dyDescent="0.35">
      <c r="A749" s="17"/>
      <c r="B749" s="13" t="s">
        <v>60</v>
      </c>
      <c r="C749" s="7">
        <v>0.03</v>
      </c>
      <c r="D749" s="8">
        <v>80</v>
      </c>
      <c r="E749" s="8">
        <f t="shared" si="75"/>
        <v>2.4</v>
      </c>
      <c r="H749" s="8"/>
      <c r="J749" s="40"/>
    </row>
    <row r="750" spans="1:10" ht="18" x14ac:dyDescent="0.35">
      <c r="A750" s="17"/>
      <c r="B750" s="13" t="s">
        <v>61</v>
      </c>
      <c r="C750" s="7">
        <v>1</v>
      </c>
      <c r="D750" s="8">
        <v>10</v>
      </c>
      <c r="E750" s="8">
        <f t="shared" si="75"/>
        <v>10</v>
      </c>
      <c r="H750" s="8"/>
      <c r="J750" s="40"/>
    </row>
    <row r="751" spans="1:10" ht="18" x14ac:dyDescent="0.35">
      <c r="A751" s="17"/>
      <c r="B751" s="13" t="s">
        <v>62</v>
      </c>
      <c r="C751" s="7">
        <v>3.0000000000000001E-3</v>
      </c>
      <c r="D751" s="8">
        <v>28</v>
      </c>
      <c r="E751" s="8">
        <f t="shared" si="75"/>
        <v>8.4000000000000005E-2</v>
      </c>
      <c r="H751" s="8"/>
      <c r="J751" s="40"/>
    </row>
    <row r="752" spans="1:10" ht="18" x14ac:dyDescent="0.35">
      <c r="A752" s="17"/>
      <c r="B752" s="13" t="s">
        <v>63</v>
      </c>
      <c r="C752" s="7">
        <v>0.02</v>
      </c>
      <c r="D752" s="8">
        <v>640</v>
      </c>
      <c r="E752" s="8">
        <f t="shared" si="75"/>
        <v>12.8</v>
      </c>
      <c r="H752" s="8"/>
      <c r="J752" s="40"/>
    </row>
    <row r="753" spans="1:10" x14ac:dyDescent="0.35">
      <c r="A753" s="18"/>
      <c r="B753" s="13" t="s">
        <v>12</v>
      </c>
      <c r="C753" s="7">
        <v>1.4999999999999999E-2</v>
      </c>
      <c r="D753" s="8">
        <v>60</v>
      </c>
      <c r="E753" s="8">
        <f t="shared" si="75"/>
        <v>0.89999999999999991</v>
      </c>
      <c r="H753" s="8"/>
      <c r="J753" s="40"/>
    </row>
    <row r="754" spans="1:10" x14ac:dyDescent="0.35">
      <c r="A754" s="18"/>
      <c r="B754" s="13" t="s">
        <v>13</v>
      </c>
      <c r="C754" s="7">
        <v>6.0000000000000001E-3</v>
      </c>
      <c r="D754" s="8">
        <v>118</v>
      </c>
      <c r="E754" s="8">
        <f t="shared" si="75"/>
        <v>0.70799999999999996</v>
      </c>
      <c r="H754" s="8"/>
      <c r="J754" s="40"/>
    </row>
    <row r="755" spans="1:10" x14ac:dyDescent="0.35">
      <c r="A755" s="18"/>
      <c r="B755" s="13"/>
      <c r="C755" s="7"/>
      <c r="D755" s="8"/>
      <c r="E755" s="8"/>
      <c r="H755" s="8"/>
      <c r="J755" s="40"/>
    </row>
    <row r="756" spans="1:10" x14ac:dyDescent="0.35">
      <c r="A756" s="18"/>
      <c r="B756" s="13"/>
      <c r="C756" s="7"/>
      <c r="D756" s="8"/>
      <c r="E756" s="8"/>
      <c r="H756" s="8"/>
      <c r="J756" s="40"/>
    </row>
    <row r="757" spans="1:10" x14ac:dyDescent="0.35">
      <c r="A757" s="18"/>
      <c r="B757" s="13"/>
      <c r="C757" s="7"/>
      <c r="D757" s="8"/>
      <c r="E757" s="8"/>
      <c r="H757" s="8"/>
      <c r="J757" s="40"/>
    </row>
    <row r="758" spans="1:10" x14ac:dyDescent="0.35">
      <c r="A758" s="18"/>
      <c r="B758" s="13"/>
      <c r="C758" s="7"/>
      <c r="D758" s="8"/>
      <c r="E758" s="8"/>
      <c r="H758" s="8"/>
      <c r="J758" s="40"/>
    </row>
    <row r="759" spans="1:10" x14ac:dyDescent="0.35">
      <c r="A759" s="18"/>
      <c r="C759" s="19"/>
      <c r="D759" s="8"/>
      <c r="E759" s="20">
        <f>SUM(E747:E758)</f>
        <v>40.891999999999996</v>
      </c>
      <c r="H759" s="8"/>
      <c r="J759" s="40"/>
    </row>
    <row r="760" spans="1:10" x14ac:dyDescent="0.35">
      <c r="J760" s="40"/>
    </row>
    <row r="761" spans="1:10" x14ac:dyDescent="0.35">
      <c r="J761" s="40"/>
    </row>
    <row r="762" spans="1:10" x14ac:dyDescent="0.35">
      <c r="J762" s="40"/>
    </row>
    <row r="763" spans="1:10" ht="18" x14ac:dyDescent="0.35">
      <c r="A763" s="32" t="s">
        <v>43</v>
      </c>
      <c r="J763" s="40"/>
    </row>
    <row r="764" spans="1:10" ht="18" x14ac:dyDescent="0.3">
      <c r="A764" s="12">
        <v>33</v>
      </c>
      <c r="B764" t="s">
        <v>1</v>
      </c>
      <c r="C764" s="7" t="s">
        <v>2</v>
      </c>
      <c r="D764" s="8" t="s">
        <v>3</v>
      </c>
      <c r="E764" s="8" t="s">
        <v>4</v>
      </c>
      <c r="F764" t="s">
        <v>5</v>
      </c>
      <c r="G764" t="s">
        <v>6</v>
      </c>
      <c r="H764" s="9" t="s">
        <v>7</v>
      </c>
      <c r="I764" s="10" t="s">
        <v>8</v>
      </c>
      <c r="J764" s="38" t="s">
        <v>137</v>
      </c>
    </row>
    <row r="765" spans="1:10" ht="18" x14ac:dyDescent="0.35">
      <c r="A765" s="17" t="s">
        <v>67</v>
      </c>
      <c r="B765" s="13" t="s">
        <v>68</v>
      </c>
      <c r="C765" s="7">
        <v>0.11</v>
      </c>
      <c r="D765" s="8">
        <v>185</v>
      </c>
      <c r="E765" s="8">
        <f t="shared" ref="E765:E768" si="76">C765*D765</f>
        <v>20.350000000000001</v>
      </c>
      <c r="F765" s="14">
        <f>E772</f>
        <v>40.500000000000007</v>
      </c>
      <c r="G765">
        <v>1</v>
      </c>
      <c r="H765" s="15">
        <f>F765/G765</f>
        <v>40.500000000000007</v>
      </c>
      <c r="I765" s="16">
        <v>180</v>
      </c>
      <c r="J765" s="40">
        <f t="shared" ref="J765:J815" si="77">H765/I765*100</f>
        <v>22.500000000000004</v>
      </c>
    </row>
    <row r="766" spans="1:10" x14ac:dyDescent="0.35">
      <c r="B766" s="13" t="s">
        <v>69</v>
      </c>
      <c r="C766" s="7">
        <v>3</v>
      </c>
      <c r="D766" s="8">
        <v>6</v>
      </c>
      <c r="E766" s="8">
        <f t="shared" si="76"/>
        <v>18</v>
      </c>
      <c r="H766" s="8"/>
      <c r="J766" s="40"/>
    </row>
    <row r="767" spans="1:10" x14ac:dyDescent="0.35">
      <c r="A767" s="18"/>
      <c r="B767" s="13" t="s">
        <v>139</v>
      </c>
      <c r="C767" s="7">
        <v>1.4999999999999999E-2</v>
      </c>
      <c r="D767" s="8">
        <v>80</v>
      </c>
      <c r="E767" s="8">
        <f t="shared" si="76"/>
        <v>1.2</v>
      </c>
      <c r="H767" s="8"/>
      <c r="J767" s="40"/>
    </row>
    <row r="768" spans="1:10" x14ac:dyDescent="0.35">
      <c r="A768" s="18"/>
      <c r="B768" s="13" t="s">
        <v>73</v>
      </c>
      <c r="C768" s="7">
        <v>0.01</v>
      </c>
      <c r="D768" s="8">
        <v>95</v>
      </c>
      <c r="E768" s="8">
        <f t="shared" si="76"/>
        <v>0.95000000000000007</v>
      </c>
      <c r="H768" s="8"/>
      <c r="J768" s="40"/>
    </row>
    <row r="769" spans="1:10" x14ac:dyDescent="0.35">
      <c r="A769" s="18"/>
      <c r="B769" s="13"/>
      <c r="C769" s="7"/>
      <c r="D769" s="8"/>
      <c r="E769" s="8"/>
      <c r="H769" s="8"/>
      <c r="J769" s="40"/>
    </row>
    <row r="770" spans="1:10" x14ac:dyDescent="0.35">
      <c r="A770" s="18"/>
      <c r="B770" s="13"/>
      <c r="C770" s="7"/>
      <c r="D770" s="8"/>
      <c r="E770" s="8"/>
      <c r="H770" s="8"/>
      <c r="J770" s="40"/>
    </row>
    <row r="771" spans="1:10" x14ac:dyDescent="0.35">
      <c r="A771" s="18"/>
      <c r="B771" s="13"/>
      <c r="C771" s="7"/>
      <c r="D771" s="8"/>
      <c r="E771" s="8"/>
      <c r="H771" s="8"/>
      <c r="J771" s="40"/>
    </row>
    <row r="772" spans="1:10" x14ac:dyDescent="0.35">
      <c r="A772" s="18"/>
      <c r="C772" s="19"/>
      <c r="D772" s="8"/>
      <c r="E772" s="20">
        <f>SUM(E765:E771)</f>
        <v>40.500000000000007</v>
      </c>
      <c r="H772" s="8"/>
      <c r="J772" s="40"/>
    </row>
    <row r="773" spans="1:10" x14ac:dyDescent="0.35">
      <c r="A773" s="18"/>
      <c r="C773" s="25"/>
      <c r="D773" s="8"/>
      <c r="E773" s="8"/>
      <c r="H773" s="8"/>
      <c r="J773" s="40"/>
    </row>
    <row r="774" spans="1:10" ht="18" x14ac:dyDescent="0.35">
      <c r="A774" s="32" t="s">
        <v>43</v>
      </c>
      <c r="J774" s="40"/>
    </row>
    <row r="775" spans="1:10" ht="18" x14ac:dyDescent="0.3">
      <c r="A775" s="12">
        <v>34</v>
      </c>
      <c r="B775" t="s">
        <v>1</v>
      </c>
      <c r="C775" s="7" t="s">
        <v>2</v>
      </c>
      <c r="D775" s="8" t="s">
        <v>3</v>
      </c>
      <c r="E775" s="8" t="s">
        <v>4</v>
      </c>
      <c r="F775" t="s">
        <v>5</v>
      </c>
      <c r="G775" t="s">
        <v>6</v>
      </c>
      <c r="H775" s="9" t="s">
        <v>7</v>
      </c>
      <c r="I775" s="10" t="s">
        <v>8</v>
      </c>
      <c r="J775" s="38" t="s">
        <v>137</v>
      </c>
    </row>
    <row r="776" spans="1:10" ht="18" x14ac:dyDescent="0.35">
      <c r="A776" s="17" t="s">
        <v>76</v>
      </c>
      <c r="B776" s="13" t="s">
        <v>68</v>
      </c>
      <c r="C776" s="7">
        <v>0.11</v>
      </c>
      <c r="D776" s="8">
        <v>185</v>
      </c>
      <c r="E776" s="8">
        <f t="shared" ref="E776:E782" si="78">C776*D776</f>
        <v>20.350000000000001</v>
      </c>
      <c r="F776" s="14">
        <f>E783</f>
        <v>47.500000000000007</v>
      </c>
      <c r="G776">
        <v>1</v>
      </c>
      <c r="H776" s="15">
        <f>F776/G776</f>
        <v>47.500000000000007</v>
      </c>
      <c r="I776" s="16">
        <v>140</v>
      </c>
      <c r="J776" s="40">
        <f t="shared" si="77"/>
        <v>33.928571428571438</v>
      </c>
    </row>
    <row r="777" spans="1:10" x14ac:dyDescent="0.35">
      <c r="B777" s="13" t="s">
        <v>77</v>
      </c>
      <c r="C777" s="7">
        <v>2</v>
      </c>
      <c r="D777" s="8">
        <v>12.5</v>
      </c>
      <c r="E777" s="8">
        <f t="shared" si="78"/>
        <v>25</v>
      </c>
      <c r="H777" s="8"/>
      <c r="J777" s="40"/>
    </row>
    <row r="778" spans="1:10" x14ac:dyDescent="0.35">
      <c r="A778" s="18"/>
      <c r="B778" s="13" t="s">
        <v>139</v>
      </c>
      <c r="C778" s="7">
        <v>1.4999999999999999E-2</v>
      </c>
      <c r="D778" s="8">
        <v>80</v>
      </c>
      <c r="E778" s="8">
        <f t="shared" si="78"/>
        <v>1.2</v>
      </c>
      <c r="H778" s="8"/>
      <c r="J778" s="40"/>
    </row>
    <row r="779" spans="1:10" x14ac:dyDescent="0.35">
      <c r="A779" s="18"/>
      <c r="B779" s="13" t="s">
        <v>73</v>
      </c>
      <c r="C779" s="7">
        <v>0.01</v>
      </c>
      <c r="D779" s="8">
        <v>95</v>
      </c>
      <c r="E779" s="8">
        <f t="shared" si="78"/>
        <v>0.95000000000000007</v>
      </c>
      <c r="H779" s="8"/>
      <c r="J779" s="40"/>
    </row>
    <row r="780" spans="1:10" x14ac:dyDescent="0.35">
      <c r="A780" s="18"/>
      <c r="B780" s="13"/>
      <c r="C780" s="7"/>
      <c r="D780" s="8"/>
      <c r="E780" s="8"/>
      <c r="H780" s="8"/>
      <c r="J780" s="40"/>
    </row>
    <row r="781" spans="1:10" x14ac:dyDescent="0.35">
      <c r="B781" s="13"/>
      <c r="C781" s="7"/>
      <c r="D781" s="8"/>
      <c r="E781" s="8"/>
      <c r="H781" s="8"/>
      <c r="J781" s="40"/>
    </row>
    <row r="782" spans="1:10" x14ac:dyDescent="0.35">
      <c r="B782" s="13"/>
      <c r="C782" s="7"/>
      <c r="D782" s="8"/>
      <c r="E782" s="8"/>
      <c r="H782" s="8"/>
      <c r="J782" s="40"/>
    </row>
    <row r="783" spans="1:10" x14ac:dyDescent="0.35">
      <c r="A783" s="6"/>
      <c r="C783" s="19"/>
      <c r="D783" s="8"/>
      <c r="E783" s="20">
        <f>SUM(E776:E782)</f>
        <v>47.500000000000007</v>
      </c>
      <c r="H783" s="8"/>
      <c r="J783" s="40"/>
    </row>
    <row r="784" spans="1:10" x14ac:dyDescent="0.35">
      <c r="J784" s="40"/>
    </row>
    <row r="785" spans="1:10" x14ac:dyDescent="0.35">
      <c r="J785" s="40"/>
    </row>
    <row r="786" spans="1:10" s="5" customFormat="1" ht="21" x14ac:dyDescent="0.4">
      <c r="A786" s="33"/>
      <c r="B786" s="34"/>
      <c r="C786" s="35"/>
      <c r="D786" s="35"/>
      <c r="E786" s="35"/>
      <c r="F786" s="35"/>
      <c r="G786" s="35"/>
      <c r="H786" s="35"/>
      <c r="I786" s="36"/>
      <c r="J786" s="40"/>
    </row>
    <row r="787" spans="1:10" x14ac:dyDescent="0.35">
      <c r="J787" s="40"/>
    </row>
    <row r="788" spans="1:10" ht="18" x14ac:dyDescent="0.35">
      <c r="A788" s="32"/>
      <c r="J788" s="40"/>
    </row>
    <row r="789" spans="1:10" ht="18" x14ac:dyDescent="0.3">
      <c r="A789" s="12"/>
      <c r="C789" s="7"/>
      <c r="D789" s="8"/>
      <c r="E789" s="8"/>
      <c r="H789" s="9"/>
      <c r="I789" s="10"/>
      <c r="J789" s="38"/>
    </row>
    <row r="790" spans="1:10" ht="18" x14ac:dyDescent="0.35">
      <c r="A790" s="17"/>
      <c r="B790" s="13"/>
      <c r="C790" s="7"/>
      <c r="D790" s="8"/>
      <c r="E790" s="8"/>
      <c r="F790" s="14"/>
      <c r="H790" s="15"/>
      <c r="J790" s="40"/>
    </row>
    <row r="791" spans="1:10" x14ac:dyDescent="0.35">
      <c r="B791" s="13"/>
      <c r="C791" s="7"/>
      <c r="D791" s="8"/>
      <c r="E791" s="8"/>
      <c r="H791" s="8"/>
      <c r="J791" s="40"/>
    </row>
    <row r="792" spans="1:10" x14ac:dyDescent="0.35">
      <c r="A792" s="18"/>
      <c r="B792" s="13"/>
      <c r="C792" s="7"/>
      <c r="D792" s="8"/>
      <c r="E792" s="8"/>
      <c r="H792" s="8"/>
      <c r="J792" s="40"/>
    </row>
    <row r="793" spans="1:10" x14ac:dyDescent="0.35">
      <c r="A793" s="18"/>
      <c r="B793" s="13"/>
      <c r="C793" s="7"/>
      <c r="D793" s="8"/>
      <c r="E793" s="8"/>
      <c r="H793" s="8"/>
      <c r="J793" s="40"/>
    </row>
    <row r="794" spans="1:10" x14ac:dyDescent="0.35">
      <c r="A794" s="18"/>
      <c r="B794" s="13"/>
      <c r="C794" s="7"/>
      <c r="D794" s="8"/>
      <c r="E794" s="8"/>
      <c r="H794" s="8"/>
      <c r="J794" s="40"/>
    </row>
    <row r="795" spans="1:10" x14ac:dyDescent="0.35">
      <c r="A795" s="18"/>
      <c r="B795" s="13"/>
      <c r="C795" s="7"/>
      <c r="D795" s="8"/>
      <c r="E795" s="8"/>
      <c r="H795" s="8"/>
      <c r="J795" s="40"/>
    </row>
    <row r="796" spans="1:10" x14ac:dyDescent="0.35">
      <c r="B796" s="13"/>
      <c r="C796" s="7"/>
      <c r="D796" s="8"/>
      <c r="E796" s="8"/>
      <c r="H796" s="8"/>
      <c r="J796" s="40"/>
    </row>
    <row r="797" spans="1:10" x14ac:dyDescent="0.35">
      <c r="B797" s="13"/>
      <c r="C797" s="7"/>
      <c r="D797" s="8"/>
      <c r="E797" s="8"/>
      <c r="H797" s="8"/>
      <c r="J797" s="40"/>
    </row>
    <row r="798" spans="1:10" x14ac:dyDescent="0.35">
      <c r="A798" s="6"/>
      <c r="C798" s="19"/>
      <c r="D798" s="8"/>
      <c r="E798" s="20"/>
      <c r="H798" s="8"/>
      <c r="J798" s="40"/>
    </row>
    <row r="799" spans="1:10" x14ac:dyDescent="0.35">
      <c r="J799" s="40"/>
    </row>
    <row r="800" spans="1:10" x14ac:dyDescent="0.35">
      <c r="J800" s="40"/>
    </row>
    <row r="801" spans="1:10" ht="18" x14ac:dyDescent="0.35">
      <c r="A801" s="32"/>
      <c r="J801" s="40"/>
    </row>
    <row r="802" spans="1:10" ht="18" x14ac:dyDescent="0.3">
      <c r="A802" s="12"/>
      <c r="C802" s="7"/>
      <c r="D802" s="8"/>
      <c r="E802" s="8"/>
      <c r="H802" s="9"/>
      <c r="I802" s="10"/>
      <c r="J802" s="38"/>
    </row>
    <row r="803" spans="1:10" ht="18" x14ac:dyDescent="0.35">
      <c r="A803" s="17"/>
      <c r="B803" s="13"/>
      <c r="C803" s="7"/>
      <c r="D803" s="8"/>
      <c r="E803" s="8"/>
      <c r="F803" s="14"/>
      <c r="H803" s="15"/>
      <c r="J803" s="40"/>
    </row>
    <row r="804" spans="1:10" x14ac:dyDescent="0.35">
      <c r="B804" s="13"/>
      <c r="C804" s="7"/>
      <c r="D804" s="8"/>
      <c r="E804" s="8"/>
      <c r="H804" s="8"/>
      <c r="J804" s="40"/>
    </row>
    <row r="805" spans="1:10" x14ac:dyDescent="0.35">
      <c r="A805" s="18"/>
      <c r="B805" s="13"/>
      <c r="C805" s="7"/>
      <c r="D805" s="8"/>
      <c r="E805" s="8"/>
      <c r="H805" s="8"/>
      <c r="J805" s="40"/>
    </row>
    <row r="806" spans="1:10" x14ac:dyDescent="0.35">
      <c r="A806" s="18"/>
      <c r="B806" s="13"/>
      <c r="C806" s="7"/>
      <c r="D806" s="8"/>
      <c r="E806" s="8"/>
      <c r="H806" s="8"/>
      <c r="J806" s="40"/>
    </row>
    <row r="807" spans="1:10" x14ac:dyDescent="0.35">
      <c r="A807" s="18"/>
      <c r="B807" s="13"/>
      <c r="C807" s="7"/>
      <c r="D807" s="8"/>
      <c r="E807" s="8"/>
      <c r="H807" s="8"/>
      <c r="J807" s="40"/>
    </row>
    <row r="808" spans="1:10" x14ac:dyDescent="0.35">
      <c r="A808" s="18"/>
      <c r="B808" s="13"/>
      <c r="C808" s="7"/>
      <c r="D808" s="8"/>
      <c r="E808" s="8"/>
      <c r="H808" s="8"/>
      <c r="J808" s="40"/>
    </row>
    <row r="809" spans="1:10" x14ac:dyDescent="0.35">
      <c r="B809" s="13"/>
      <c r="C809" s="7"/>
      <c r="D809" s="8"/>
      <c r="E809" s="8"/>
      <c r="H809" s="8"/>
      <c r="J809" s="40"/>
    </row>
    <row r="810" spans="1:10" x14ac:dyDescent="0.35">
      <c r="B810" s="13"/>
      <c r="C810" s="7"/>
      <c r="D810" s="8"/>
      <c r="E810" s="8"/>
      <c r="H810" s="8"/>
      <c r="J810" s="40"/>
    </row>
    <row r="811" spans="1:10" x14ac:dyDescent="0.35">
      <c r="A811" s="6"/>
      <c r="C811" s="19"/>
      <c r="D811" s="8"/>
      <c r="E811" s="20"/>
      <c r="H811" s="8"/>
      <c r="J811" s="40"/>
    </row>
    <row r="812" spans="1:10" x14ac:dyDescent="0.35">
      <c r="J812" s="40"/>
    </row>
    <row r="813" spans="1:10" ht="18" x14ac:dyDescent="0.35">
      <c r="A813" s="32"/>
      <c r="J813" s="40"/>
    </row>
    <row r="814" spans="1:10" ht="18" x14ac:dyDescent="0.3">
      <c r="A814" s="12"/>
      <c r="C814" s="7"/>
      <c r="D814" s="8"/>
      <c r="E814" s="8"/>
      <c r="H814" s="9"/>
      <c r="I814" s="10"/>
      <c r="J814" s="38"/>
    </row>
    <row r="815" spans="1:10" ht="18" x14ac:dyDescent="0.35">
      <c r="A815" s="17"/>
      <c r="B815" s="13"/>
      <c r="C815" s="7"/>
      <c r="D815" s="8"/>
      <c r="E815" s="8"/>
      <c r="F815" s="14"/>
      <c r="H815" s="15"/>
      <c r="J815" s="40"/>
    </row>
    <row r="816" spans="1:10" x14ac:dyDescent="0.35">
      <c r="B816" s="13"/>
      <c r="C816" s="7"/>
      <c r="D816" s="8"/>
      <c r="E816" s="8"/>
      <c r="H816" s="8"/>
      <c r="J816" s="40"/>
    </row>
    <row r="817" spans="1:10" x14ac:dyDescent="0.35">
      <c r="A817" s="18"/>
      <c r="B817" s="13"/>
      <c r="C817" s="7"/>
      <c r="D817" s="8"/>
      <c r="E817" s="8"/>
      <c r="H817" s="8"/>
      <c r="J817" s="40"/>
    </row>
    <row r="818" spans="1:10" x14ac:dyDescent="0.35">
      <c r="A818" s="18"/>
      <c r="B818" s="13"/>
      <c r="C818" s="7"/>
      <c r="D818" s="8"/>
      <c r="E818" s="8"/>
      <c r="H818" s="8"/>
      <c r="J818" s="40"/>
    </row>
    <row r="819" spans="1:10" x14ac:dyDescent="0.35">
      <c r="A819" s="18"/>
      <c r="B819" s="13"/>
      <c r="C819" s="7"/>
      <c r="D819" s="8"/>
      <c r="E819" s="8"/>
      <c r="H819" s="8"/>
      <c r="J819" s="40"/>
    </row>
    <row r="820" spans="1:10" x14ac:dyDescent="0.35">
      <c r="A820" s="18"/>
      <c r="B820" s="13"/>
      <c r="C820" s="7"/>
      <c r="D820" s="8"/>
      <c r="E820" s="8"/>
      <c r="H820" s="8"/>
      <c r="J820" s="40"/>
    </row>
    <row r="821" spans="1:10" x14ac:dyDescent="0.35">
      <c r="B821" s="13"/>
      <c r="C821" s="7"/>
      <c r="D821" s="8"/>
      <c r="E821" s="8"/>
      <c r="H821" s="8"/>
      <c r="J821" s="40"/>
    </row>
    <row r="822" spans="1:10" x14ac:dyDescent="0.35">
      <c r="B822" s="13"/>
      <c r="C822" s="7"/>
      <c r="D822" s="8"/>
      <c r="E822" s="8"/>
      <c r="H822" s="8"/>
      <c r="J822" s="40"/>
    </row>
    <row r="823" spans="1:10" x14ac:dyDescent="0.35">
      <c r="A823" s="6"/>
      <c r="C823" s="19"/>
      <c r="D823" s="8"/>
      <c r="E823" s="20"/>
      <c r="H823" s="8"/>
      <c r="J823" s="40"/>
    </row>
    <row r="824" spans="1:10" ht="18" x14ac:dyDescent="0.35">
      <c r="A824" s="32"/>
      <c r="J824" s="40"/>
    </row>
    <row r="825" spans="1:10" ht="18" x14ac:dyDescent="0.3">
      <c r="A825" s="12"/>
      <c r="C825" s="7"/>
      <c r="D825" s="8"/>
      <c r="E825" s="8"/>
      <c r="H825" s="9"/>
      <c r="I825" s="10"/>
      <c r="J825" s="38"/>
    </row>
    <row r="826" spans="1:10" ht="18" x14ac:dyDescent="0.35">
      <c r="A826" s="17"/>
      <c r="B826" s="13"/>
      <c r="C826" s="7"/>
      <c r="D826" s="8"/>
      <c r="E826" s="8"/>
      <c r="F826" s="14"/>
      <c r="H826" s="15"/>
      <c r="J826" s="40"/>
    </row>
    <row r="827" spans="1:10" x14ac:dyDescent="0.35">
      <c r="B827" s="13"/>
      <c r="C827" s="7"/>
      <c r="D827" s="8"/>
      <c r="E827" s="8"/>
      <c r="H827" s="8"/>
      <c r="J827" s="40"/>
    </row>
    <row r="828" spans="1:10" x14ac:dyDescent="0.35">
      <c r="A828" s="18"/>
      <c r="B828" s="13"/>
      <c r="C828" s="7"/>
      <c r="D828" s="8"/>
      <c r="E828" s="8"/>
      <c r="H828" s="8"/>
      <c r="J828" s="40"/>
    </row>
    <row r="829" spans="1:10" x14ac:dyDescent="0.35">
      <c r="A829" s="18"/>
      <c r="B829" s="13"/>
      <c r="C829" s="7"/>
      <c r="D829" s="8"/>
      <c r="E829" s="8"/>
      <c r="H829" s="8"/>
      <c r="J829" s="40"/>
    </row>
    <row r="830" spans="1:10" x14ac:dyDescent="0.35">
      <c r="A830" s="18"/>
      <c r="B830" s="13"/>
      <c r="C830" s="7"/>
      <c r="D830" s="8"/>
      <c r="E830" s="8"/>
      <c r="H830" s="8"/>
      <c r="J830" s="40"/>
    </row>
    <row r="831" spans="1:10" x14ac:dyDescent="0.35">
      <c r="A831" s="18"/>
      <c r="B831" s="13"/>
      <c r="C831" s="7"/>
      <c r="D831" s="8"/>
      <c r="E831" s="8"/>
      <c r="H831" s="8"/>
      <c r="J831" s="40"/>
    </row>
    <row r="832" spans="1:10" x14ac:dyDescent="0.35">
      <c r="B832" s="13"/>
      <c r="C832" s="7"/>
      <c r="D832" s="8"/>
      <c r="E832" s="8"/>
      <c r="H832" s="8"/>
      <c r="J832" s="40"/>
    </row>
    <row r="833" spans="1:10" x14ac:dyDescent="0.35">
      <c r="B833" s="13"/>
      <c r="C833" s="7"/>
      <c r="D833" s="8"/>
      <c r="E833" s="8"/>
      <c r="H833" s="8"/>
      <c r="J833" s="40"/>
    </row>
    <row r="834" spans="1:10" x14ac:dyDescent="0.35">
      <c r="A834" s="6"/>
      <c r="C834" s="19"/>
      <c r="D834" s="8"/>
      <c r="E834" s="20"/>
      <c r="H834" s="8"/>
      <c r="J834" s="40"/>
    </row>
    <row r="835" spans="1:10" x14ac:dyDescent="0.35">
      <c r="J835" s="40"/>
    </row>
    <row r="836" spans="1:10" ht="18" x14ac:dyDescent="0.35">
      <c r="A836" s="32"/>
      <c r="J836" s="40"/>
    </row>
    <row r="837" spans="1:10" ht="18" x14ac:dyDescent="0.3">
      <c r="A837" s="12"/>
      <c r="C837" s="7"/>
      <c r="D837" s="8"/>
      <c r="E837" s="8"/>
      <c r="H837" s="9"/>
      <c r="I837" s="10"/>
      <c r="J837" s="38"/>
    </row>
    <row r="838" spans="1:10" ht="18" x14ac:dyDescent="0.35">
      <c r="A838" s="17"/>
      <c r="B838" s="13"/>
      <c r="C838" s="7"/>
      <c r="D838" s="8"/>
      <c r="E838" s="8"/>
      <c r="F838" s="14"/>
      <c r="H838" s="15"/>
      <c r="J838" s="40"/>
    </row>
    <row r="839" spans="1:10" x14ac:dyDescent="0.35">
      <c r="B839" s="13"/>
      <c r="C839" s="7"/>
      <c r="D839" s="8"/>
      <c r="E839" s="8"/>
      <c r="H839" s="8"/>
      <c r="J839" s="40"/>
    </row>
    <row r="840" spans="1:10" x14ac:dyDescent="0.35">
      <c r="A840" s="18"/>
      <c r="B840" s="13"/>
      <c r="C840" s="7"/>
      <c r="D840" s="8"/>
      <c r="E840" s="8"/>
      <c r="H840" s="8"/>
      <c r="J840" s="40"/>
    </row>
    <row r="841" spans="1:10" x14ac:dyDescent="0.35">
      <c r="A841" s="18"/>
      <c r="B841" s="13"/>
      <c r="C841" s="7"/>
      <c r="D841" s="8"/>
      <c r="E841" s="8"/>
      <c r="H841" s="8"/>
      <c r="J841" s="40"/>
    </row>
    <row r="842" spans="1:10" x14ac:dyDescent="0.35">
      <c r="A842" s="18"/>
      <c r="B842" s="13"/>
      <c r="C842" s="7"/>
      <c r="D842" s="8"/>
      <c r="E842" s="8"/>
      <c r="H842" s="8"/>
      <c r="J842" s="40"/>
    </row>
    <row r="843" spans="1:10" x14ac:dyDescent="0.35">
      <c r="A843" s="18"/>
      <c r="B843" s="13"/>
      <c r="C843" s="7"/>
      <c r="D843" s="8"/>
      <c r="E843" s="8"/>
      <c r="H843" s="8"/>
      <c r="J843" s="40"/>
    </row>
    <row r="844" spans="1:10" x14ac:dyDescent="0.35">
      <c r="B844" s="13"/>
      <c r="C844" s="7"/>
      <c r="D844" s="8"/>
      <c r="E844" s="8"/>
      <c r="H844" s="8"/>
      <c r="J844" s="40"/>
    </row>
    <row r="845" spans="1:10" x14ac:dyDescent="0.35">
      <c r="B845" s="13"/>
      <c r="C845" s="7"/>
      <c r="D845" s="8"/>
      <c r="E845" s="8"/>
      <c r="H845" s="8"/>
      <c r="J845" s="40"/>
    </row>
    <row r="846" spans="1:10" x14ac:dyDescent="0.35">
      <c r="A846" s="6"/>
      <c r="C846" s="19"/>
      <c r="D846" s="8"/>
      <c r="E846" s="20"/>
      <c r="H846" s="8"/>
      <c r="J846" s="40"/>
    </row>
    <row r="847" spans="1:10" x14ac:dyDescent="0.35">
      <c r="J847" s="40"/>
    </row>
    <row r="848" spans="1:10" x14ac:dyDescent="0.35">
      <c r="J848" s="40"/>
    </row>
    <row r="849" spans="1:10" ht="15.6" x14ac:dyDescent="0.3">
      <c r="A849" s="6"/>
      <c r="C849" s="7"/>
      <c r="D849" s="8"/>
      <c r="E849" s="8"/>
      <c r="H849" s="9"/>
      <c r="I849" s="10"/>
      <c r="J849" s="38"/>
    </row>
    <row r="850" spans="1:10" ht="18" x14ac:dyDescent="0.35">
      <c r="A850" s="12"/>
      <c r="B850" s="13"/>
      <c r="C850" s="7"/>
      <c r="D850" s="8"/>
      <c r="E850" s="8"/>
      <c r="F850" s="14"/>
      <c r="H850" s="15"/>
    </row>
    <row r="851" spans="1:10" ht="18" x14ac:dyDescent="0.35">
      <c r="A851" s="17"/>
      <c r="B851" s="13"/>
      <c r="C851" s="7"/>
      <c r="D851" s="8"/>
      <c r="E851" s="8"/>
      <c r="H851" s="8"/>
    </row>
    <row r="852" spans="1:10" x14ac:dyDescent="0.35">
      <c r="A852" s="18"/>
      <c r="B852" s="13"/>
      <c r="C852" s="7"/>
      <c r="D852" s="8"/>
      <c r="E852" s="8"/>
      <c r="H852" s="8"/>
    </row>
    <row r="853" spans="1:10" x14ac:dyDescent="0.35">
      <c r="A853" s="18"/>
      <c r="B853" s="13"/>
      <c r="C853" s="7"/>
      <c r="D853" s="8"/>
      <c r="E853" s="8"/>
      <c r="H853" s="8"/>
    </row>
    <row r="854" spans="1:10" x14ac:dyDescent="0.35">
      <c r="A854" s="18"/>
      <c r="B854" s="13"/>
      <c r="C854" s="7"/>
      <c r="D854" s="8"/>
      <c r="E854" s="8"/>
      <c r="H854" s="8"/>
    </row>
    <row r="855" spans="1:10" x14ac:dyDescent="0.35">
      <c r="A855" s="18"/>
      <c r="B855" s="13"/>
      <c r="C855" s="7"/>
      <c r="D855" s="8"/>
      <c r="E855" s="8"/>
      <c r="H855" s="8"/>
    </row>
    <row r="856" spans="1:10" x14ac:dyDescent="0.35">
      <c r="A856" s="18"/>
      <c r="C856" s="19"/>
      <c r="D856" s="8"/>
      <c r="E856" s="20"/>
      <c r="H856" s="8"/>
    </row>
    <row r="857" spans="1:10" x14ac:dyDescent="0.35">
      <c r="A857" s="18"/>
      <c r="H857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U S</cp:lastModifiedBy>
  <dcterms:created xsi:type="dcterms:W3CDTF">2015-06-05T18:17:20Z</dcterms:created>
  <dcterms:modified xsi:type="dcterms:W3CDTF">2026-07-07T09:57:08Z</dcterms:modified>
</cp:coreProperties>
</file>